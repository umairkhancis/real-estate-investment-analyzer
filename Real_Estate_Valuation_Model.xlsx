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<sst xmlns="http://schemas.openxmlformats.org/spreadsheetml/2006/main" count="56" uniqueCount="55">
  <si>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REAL ESTATE PROPERTY VALUATION MODEL</t>
  </si>
  <si>
    <t xml:space="preserve">INPUTS</t>
  </si>
  <si>
    <t xml:space="preserve">Size (sq ft)</t>
  </si>
  <si>
    <t xml:space="preserve">Total Value (AED)</t>
  </si>
  <si>
    <t xml:space="preserve">Down Payment (%)</t>
  </si>
  <si>
    <t xml:space="preserve">Tenure (Years)</t>
  </si>
  <si>
    <t xml:space="preserve">Discount Rate (%)</t>
  </si>
  <si>
    <t xml:space="preserve">Rental ROI (%)</t>
  </si>
  <si>
    <t xml:space="preserve">Service Charges (per sq ft)</t>
  </si>
  <si>
    <t xml:space="preserve">Potential Price (per sq ft)</t>
  </si>
  <si>
    <t xml:space="preserve">Fixed Assumptions</t>
  </si>
  <si>
    <t xml:space="preserve">Interest Rate (Mortgage)</t>
  </si>
  <si>
    <t xml:space="preserve">DLD Fee (%)</t>
  </si>
  <si>
    <t xml:space="preserve">Agent Commission (%)</t>
  </si>
  <si>
    <t xml:space="preserve">CALCULATED VALUES</t>
  </si>
  <si>
    <t xml:space="preserve">Price (per sq ft)</t>
  </si>
  <si>
    <t xml:space="preserve">Down Payment Amount</t>
  </si>
  <si>
    <t xml:space="preserve">Dubai Land Department (4%)</t>
  </si>
  <si>
    <t xml:space="preserve">Agent Commission (2%)</t>
  </si>
  <si>
    <t xml:space="preserve">Rental Amount (Annualized)</t>
  </si>
  <si>
    <t xml:space="preserve">Service Charges (Annualized)</t>
  </si>
  <si>
    <t xml:space="preserve">Net Operating Income (NOI)</t>
  </si>
  <si>
    <t xml:space="preserve">Invested Capital</t>
  </si>
  <si>
    <t xml:space="preserve">Financing Amount</t>
  </si>
  <si>
    <t xml:space="preserve">EMI (Monthly)</t>
  </si>
  <si>
    <t xml:space="preserve">Loan Payment (Annualized)</t>
  </si>
  <si>
    <t xml:space="preserve">Net Cash Flow (Annualized)</t>
  </si>
  <si>
    <t xml:space="preserve">CASH FLOW ANALYSIS (Buyer Perspective)</t>
  </si>
  <si>
    <t xml:space="preserve">DISCOUNTED CASH FLOW</t>
  </si>
  <si>
    <t xml:space="preserve">Year</t>
  </si>
  <si>
    <t xml:space="preserve">Gross Cash Flow</t>
  </si>
  <si>
    <t xml:space="preserve">Net Cash Flow</t>
  </si>
  <si>
    <t xml:space="preserve">Terminal Value</t>
  </si>
  <si>
    <t xml:space="preserve">Total Cash Flow</t>
  </si>
  <si>
    <t xml:space="preserve">Total CF</t>
  </si>
  <si>
    <t xml:space="preserve">Discount Factor</t>
  </si>
  <si>
    <t xml:space="preserve">Discounted CF</t>
  </si>
  <si>
    <t xml:space="preserve">VALUATION SUMMARY</t>
  </si>
  <si>
    <t xml:space="preserve">QUICK REFERENCE</t>
  </si>
  <si>
    <t xml:space="preserve">Net Present Value (NPV)</t>
  </si>
  <si>
    <t xml:space="preserve">Total Investment Cost</t>
  </si>
  <si>
    <t xml:space="preserve">Internal Rate of Return (IRR)</t>
  </si>
  <si>
    <t xml:space="preserve">Potential Exit Value</t>
  </si>
  <si>
    <t xml:space="preserve">Return on Invested Capital (ROIC)</t>
  </si>
  <si>
    <t xml:space="preserve">Equity Multiple</t>
  </si>
  <si>
    <t xml:space="preserve">Payback Period (Years)</t>
  </si>
  <si>
    <t xml:space="preserve">Cap Rate</t>
  </si>
  <si>
    <t xml:space="preserve">Cash-on-Cash Return</t>
  </si>
  <si>
    <t xml:space="preserve">Gross Rental Yield</t>
  </si>
  <si>
    <t xml:space="preserve">Notes:</t>
  </si>
  <si>
    <t xml:space="preserve">• Blue cells are inputs - modify these to run different scenarios</t>
  </si>
  <si>
    <t xml:space="preserve">• Gross Cash Flow = Rental Income (before loan payments)</t>
  </si>
  <si>
    <t xml:space="preserve">• Net Cash Flow = NOI minus loan payments (your actual cash in pocket)</t>
  </si>
  <si>
    <t xml:space="preserve">• Terminal Value calculated using perpetuity method: NOI / Discount Rate</t>
  </si>
  <si>
    <t xml:space="preserve">• EMI calculated using 5% annual interest rate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</si>
</sst>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;\(#,##0\);\-"/>
    <numFmt numFmtId="168" formatCode="0.0000"/>
    <numFmt numFmtId="169" formatCode="0.00%"/>
    <numFmt numFmtId="170" formatCode="0.00\x"/>
    <numFmt numFmtId="171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29" min="5" style="0" width="14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n">
        <v>1500</v>
      </c>
    </row>
    <row r="6" customFormat="false" ht="15" hidden="false" customHeight="false" outlineLevel="0" collapsed="false">
      <c r="B6" s="3" t="s">
        <v>3</v>
      </c>
      <c r="C6" s="5" t="n">
        <v>2000000</v>
      </c>
    </row>
    <row r="7" customFormat="false" ht="15" hidden="false" customHeight="false" outlineLevel="0" collapsed="false">
      <c r="B7" s="3" t="s">
        <v>4</v>
      </c>
      <c r="C7" s="6" t="n">
        <v>0.2</v>
      </c>
    </row>
    <row r="8" customFormat="false" ht="15" hidden="false" customHeight="false" outlineLevel="0" collapsed="false">
      <c r="B8" s="3" t="s">
        <v>5</v>
      </c>
      <c r="C8" s="4" t="n">
        <v>10</v>
      </c>
    </row>
    <row r="9" customFormat="false" ht="15" hidden="false" customHeight="false" outlineLevel="0" collapsed="false">
      <c r="B9" s="3" t="s">
        <v>6</v>
      </c>
      <c r="C9" s="6" t="n">
        <v>0.1</v>
      </c>
    </row>
    <row r="10" customFormat="false" ht="15" hidden="false" customHeight="false" outlineLevel="0" collapsed="false">
      <c r="B10" s="3" t="s">
        <v>7</v>
      </c>
      <c r="C10" s="6" t="n">
        <v>0.07</v>
      </c>
    </row>
    <row r="11" customFormat="false" ht="15" hidden="false" customHeight="false" outlineLevel="0" collapsed="false">
      <c r="B11" s="3" t="s">
        <v>8</v>
      </c>
      <c r="C11" s="5" t="n">
        <v>25</v>
      </c>
    </row>
    <row r="12" customFormat="false" ht="15" hidden="false" customHeight="false" outlineLevel="0" collapsed="false">
      <c r="B12" s="3" t="s">
        <v>9</v>
      </c>
      <c r="C12" s="5" t="n">
        <v>1600</v>
      </c>
    </row>
    <row r="14" customFormat="false" ht="15" hidden="false" customHeight="false" outlineLevel="0" collapsed="false">
      <c r="B14" s="7" t="s">
        <v>10</v>
      </c>
    </row>
    <row r="15" customFormat="false" ht="15" hidden="false" customHeight="false" outlineLevel="0" collapsed="false">
      <c r="B15" s="0" t="s">
        <v>11</v>
      </c>
      <c r="C15" s="8" t="n">
        <v>0.05</v>
      </c>
    </row>
    <row r="16" customFormat="false" ht="15" hidden="false" customHeight="false" outlineLevel="0" collapsed="false">
      <c r="B16" s="0" t="s">
        <v>12</v>
      </c>
      <c r="C16" s="9" t="n">
        <v>0.04</v>
      </c>
    </row>
    <row r="17" customFormat="false" ht="15" hidden="false" customHeight="false" outlineLevel="0" collapsed="false">
      <c r="B17" s="0" t="s">
        <v>13</v>
      </c>
      <c r="C17" s="9" t="n">
        <v>0.02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3" t="s">
        <v>15</v>
      </c>
      <c r="C20" s="10" t="n">
        <f aca="false">C6/C5</f>
        <v>1333.33333333333</v>
      </c>
    </row>
    <row r="21" customFormat="false" ht="15" hidden="false" customHeight="false" outlineLevel="0" collapsed="false">
      <c r="B21" s="3" t="s">
        <v>16</v>
      </c>
      <c r="C21" s="10" t="n">
        <f aca="false">C6*C7</f>
        <v>400000</v>
      </c>
    </row>
    <row r="22" customFormat="false" ht="15" hidden="false" customHeight="false" outlineLevel="0" collapsed="false">
      <c r="B22" s="3" t="s">
        <v>17</v>
      </c>
      <c r="C22" s="10" t="n">
        <f aca="false">C6*C16</f>
        <v>80000</v>
      </c>
    </row>
    <row r="23" customFormat="false" ht="15" hidden="false" customHeight="false" outlineLevel="0" collapsed="false">
      <c r="B23" s="3" t="s">
        <v>18</v>
      </c>
      <c r="C23" s="10" t="n">
        <f aca="false">C6*C17</f>
        <v>40000</v>
      </c>
    </row>
    <row r="24" customFormat="false" ht="15" hidden="false" customHeight="false" outlineLevel="0" collapsed="false">
      <c r="B24" s="3" t="s">
        <v>19</v>
      </c>
      <c r="C24" s="10" t="n">
        <f aca="false">C6*C10</f>
        <v>140000</v>
      </c>
    </row>
    <row r="25" customFormat="false" ht="15" hidden="false" customHeight="false" outlineLevel="0" collapsed="false">
      <c r="B25" s="3" t="s">
        <v>20</v>
      </c>
      <c r="C25" s="10" t="n">
        <f aca="false">C11*C5</f>
        <v>37500</v>
      </c>
    </row>
    <row r="26" customFormat="false" ht="15" hidden="false" customHeight="false" outlineLevel="0" collapsed="false">
      <c r="B26" s="3" t="s">
        <v>21</v>
      </c>
      <c r="C26" s="11" t="n">
        <f aca="false">C24-C25</f>
        <v>102500</v>
      </c>
    </row>
    <row r="27" customFormat="false" ht="15" hidden="false" customHeight="false" outlineLevel="0" collapsed="false">
      <c r="B27" s="3" t="s">
        <v>22</v>
      </c>
      <c r="C27" s="11" t="n">
        <f aca="false">C21+C22+C23</f>
        <v>520000</v>
      </c>
    </row>
    <row r="28" customFormat="false" ht="15" hidden="false" customHeight="false" outlineLevel="0" collapsed="false">
      <c r="B28" s="3" t="s">
        <v>23</v>
      </c>
      <c r="C28" s="10" t="n">
        <f aca="false">C6-C21</f>
        <v>1600000</v>
      </c>
    </row>
    <row r="29" customFormat="false" ht="15" hidden="false" customHeight="false" outlineLevel="0" collapsed="false">
      <c r="B29" s="3" t="s">
        <v>24</v>
      </c>
      <c r="C29" s="10" t="n">
        <f aca="false">IF(C28&gt;0,-PMT(C15/12,C8*12,C28),0)</f>
        <v>16970.482438252</v>
      </c>
    </row>
    <row r="30" customFormat="false" ht="15" hidden="false" customHeight="false" outlineLevel="0" collapsed="false">
      <c r="B30" s="3" t="s">
        <v>25</v>
      </c>
      <c r="C30" s="10" t="n">
        <f aca="false">C29*12</f>
        <v>203645.789259024</v>
      </c>
    </row>
    <row r="31" customFormat="false" ht="15" hidden="false" customHeight="false" outlineLevel="0" collapsed="false">
      <c r="B31" s="3" t="s">
        <v>26</v>
      </c>
      <c r="C31" s="11" t="n">
        <f aca="false">C26-C30</f>
        <v>-101145.789259024</v>
      </c>
    </row>
    <row r="34" customFormat="false" ht="15" hidden="false" customHeight="false" outlineLevel="0" collapsed="false">
      <c r="B34" s="2" t="s">
        <v>27</v>
      </c>
      <c r="H34" s="2" t="s">
        <v>28</v>
      </c>
    </row>
    <row r="35" customFormat="false" ht="15" hidden="false" customHeight="false" outlineLevel="0" collapsed="false">
      <c r="B35" s="12" t="s">
        <v>29</v>
      </c>
      <c r="C35" s="12" t="s">
        <v>30</v>
      </c>
      <c r="D35" s="12" t="s">
        <v>31</v>
      </c>
      <c r="E35" s="12" t="s">
        <v>32</v>
      </c>
      <c r="F35" s="12" t="s">
        <v>33</v>
      </c>
      <c r="H35" s="13" t="s">
        <v>29</v>
      </c>
      <c r="I35" s="13" t="s">
        <v>34</v>
      </c>
      <c r="J35" s="13" t="s">
        <v>35</v>
      </c>
      <c r="K35" s="13" t="s">
        <v>36</v>
      </c>
    </row>
    <row r="36" customFormat="false" ht="15" hidden="false" customHeight="false" outlineLevel="0" collapsed="false">
      <c r="B36" s="14" t="n">
        <v>0</v>
      </c>
      <c r="C36" s="15" t="n">
        <v>0</v>
      </c>
      <c r="D36" s="15" t="n">
        <f aca="false">-C27</f>
        <v>-520000</v>
      </c>
      <c r="E36" s="15" t="n">
        <v>0</v>
      </c>
      <c r="F36" s="15" t="n">
        <f aca="false">C36+D36+E36</f>
        <v>-520000</v>
      </c>
      <c r="H36" s="14" t="n">
        <v>0</v>
      </c>
      <c r="I36" s="15" t="n">
        <f aca="false">F36</f>
        <v>-520000</v>
      </c>
      <c r="J36" s="16" t="n">
        <v>1</v>
      </c>
      <c r="K36" s="15" t="n">
        <f aca="false">I36*J36</f>
        <v>-520000</v>
      </c>
    </row>
    <row r="37" customFormat="false" ht="15" hidden="false" customHeight="false" outlineLevel="0" collapsed="false">
      <c r="B37" s="17" t="n">
        <v>1</v>
      </c>
      <c r="C37" s="18" t="n">
        <f aca="false">IF(B37&lt;=C$8,C$26,0)</f>
        <v>102500</v>
      </c>
      <c r="D37" s="18" t="n">
        <f aca="false">IF(B37&lt;=C$8,C$31,0)</f>
        <v>-101145.789259024</v>
      </c>
      <c r="E37" s="18" t="n">
        <f aca="false">IF(B37=C$8,C$26/C$9,0)</f>
        <v>0</v>
      </c>
      <c r="F37" s="18" t="n">
        <f aca="false">C37+D37+E37</f>
        <v>1354.21074097554</v>
      </c>
      <c r="H37" s="17" t="n">
        <v>1</v>
      </c>
      <c r="I37" s="18" t="n">
        <f aca="false">F37</f>
        <v>1354.21074097554</v>
      </c>
      <c r="J37" s="19" t="n">
        <f aca="false">IF(H37&lt;=C$8,1/(1+C$9)^H37,0)</f>
        <v>0.909090909090909</v>
      </c>
      <c r="K37" s="18" t="n">
        <f aca="false">I37*J37</f>
        <v>1231.10067361413</v>
      </c>
    </row>
    <row r="38" customFormat="false" ht="15" hidden="false" customHeight="false" outlineLevel="0" collapsed="false">
      <c r="B38" s="17" t="n">
        <v>2</v>
      </c>
      <c r="C38" s="18" t="n">
        <f aca="false">IF(B38&lt;=C$8,C$26,0)</f>
        <v>102500</v>
      </c>
      <c r="D38" s="18" t="n">
        <f aca="false">IF(B38&lt;=C$8,C$31,0)</f>
        <v>-101145.789259024</v>
      </c>
      <c r="E38" s="18" t="n">
        <f aca="false">IF(B38=C$8,C$26/C$9,0)</f>
        <v>0</v>
      </c>
      <c r="F38" s="18" t="n">
        <f aca="false">C38+D38+E38</f>
        <v>1354.21074097554</v>
      </c>
      <c r="H38" s="17" t="n">
        <v>2</v>
      </c>
      <c r="I38" s="18" t="n">
        <f aca="false">F38</f>
        <v>1354.21074097554</v>
      </c>
      <c r="J38" s="19" t="n">
        <f aca="false">IF(H38&lt;=C$8,1/(1+C$9)^H38,0)</f>
        <v>0.826446280991735</v>
      </c>
      <c r="K38" s="18" t="n">
        <f aca="false">I38*J38</f>
        <v>1119.1824305583</v>
      </c>
    </row>
    <row r="39" customFormat="false" ht="15" hidden="false" customHeight="false" outlineLevel="0" collapsed="false">
      <c r="B39" s="17" t="n">
        <v>3</v>
      </c>
      <c r="C39" s="18" t="n">
        <f aca="false">IF(B39&lt;=C$8,C$26,0)</f>
        <v>102500</v>
      </c>
      <c r="D39" s="18" t="n">
        <f aca="false">IF(B39&lt;=C$8,C$31,0)</f>
        <v>-101145.789259024</v>
      </c>
      <c r="E39" s="18" t="n">
        <f aca="false">IF(B39=C$8,C$26/C$9,0)</f>
        <v>0</v>
      </c>
      <c r="F39" s="18" t="n">
        <f aca="false">C39+D39+E39</f>
        <v>1354.21074097554</v>
      </c>
      <c r="H39" s="17" t="n">
        <v>3</v>
      </c>
      <c r="I39" s="18" t="n">
        <f aca="false">F39</f>
        <v>1354.21074097554</v>
      </c>
      <c r="J39" s="19" t="n">
        <f aca="false">IF(H39&lt;=C$8,1/(1+C$9)^H39,0)</f>
        <v>0.751314800901578</v>
      </c>
      <c r="K39" s="18" t="n">
        <f aca="false">I39*J39</f>
        <v>1017.43857323482</v>
      </c>
    </row>
    <row r="40" customFormat="false" ht="15" hidden="false" customHeight="false" outlineLevel="0" collapsed="false">
      <c r="B40" s="17" t="n">
        <v>4</v>
      </c>
      <c r="C40" s="18" t="n">
        <f aca="false">IF(B40&lt;=C$8,C$26,0)</f>
        <v>102500</v>
      </c>
      <c r="D40" s="18" t="n">
        <f aca="false">IF(B40&lt;=C$8,C$31,0)</f>
        <v>-101145.789259024</v>
      </c>
      <c r="E40" s="18" t="n">
        <f aca="false">IF(B40=C$8,C$26/C$9,0)</f>
        <v>0</v>
      </c>
      <c r="F40" s="18" t="n">
        <f aca="false">C40+D40+E40</f>
        <v>1354.21074097554</v>
      </c>
      <c r="H40" s="17" t="n">
        <v>4</v>
      </c>
      <c r="I40" s="18" t="n">
        <f aca="false">F40</f>
        <v>1354.21074097554</v>
      </c>
      <c r="J40" s="19" t="n">
        <f aca="false">IF(H40&lt;=C$8,1/(1+C$9)^H40,0)</f>
        <v>0.683013455365071</v>
      </c>
      <c r="K40" s="18" t="n">
        <f aca="false">I40*J40</f>
        <v>924.944157486197</v>
      </c>
    </row>
    <row r="41" customFormat="false" ht="15" hidden="false" customHeight="false" outlineLevel="0" collapsed="false">
      <c r="B41" s="17" t="n">
        <v>5</v>
      </c>
      <c r="C41" s="18" t="n">
        <f aca="false">IF(B41&lt;=C$8,C$26,0)</f>
        <v>102500</v>
      </c>
      <c r="D41" s="18" t="n">
        <f aca="false">IF(B41&lt;=C$8,C$31,0)</f>
        <v>-101145.789259024</v>
      </c>
      <c r="E41" s="18" t="n">
        <f aca="false">IF(B41=C$8,C$26/C$9,0)</f>
        <v>0</v>
      </c>
      <c r="F41" s="18" t="n">
        <f aca="false">C41+D41+E41</f>
        <v>1354.21074097554</v>
      </c>
      <c r="H41" s="17" t="n">
        <v>5</v>
      </c>
      <c r="I41" s="18" t="n">
        <f aca="false">F41</f>
        <v>1354.21074097554</v>
      </c>
      <c r="J41" s="19" t="n">
        <f aca="false">IF(H41&lt;=C$8,1/(1+C$9)^H41,0)</f>
        <v>0.620921323059155</v>
      </c>
      <c r="K41" s="18" t="n">
        <f aca="false">I41*J41</f>
        <v>840.858324987451</v>
      </c>
    </row>
    <row r="42" customFormat="false" ht="15" hidden="false" customHeight="false" outlineLevel="0" collapsed="false">
      <c r="B42" s="17" t="n">
        <v>6</v>
      </c>
      <c r="C42" s="18" t="n">
        <f aca="false">IF(B42&lt;=C$8,C$26,0)</f>
        <v>102500</v>
      </c>
      <c r="D42" s="18" t="n">
        <f aca="false">IF(B42&lt;=C$8,C$31,0)</f>
        <v>-101145.789259024</v>
      </c>
      <c r="E42" s="18" t="n">
        <f aca="false">IF(B42=C$8,C$26/C$9,0)</f>
        <v>0</v>
      </c>
      <c r="F42" s="18" t="n">
        <f aca="false">C42+D42+E42</f>
        <v>1354.21074097554</v>
      </c>
      <c r="H42" s="17" t="n">
        <v>6</v>
      </c>
      <c r="I42" s="18" t="n">
        <f aca="false">F42</f>
        <v>1354.21074097554</v>
      </c>
      <c r="J42" s="19" t="n">
        <f aca="false">IF(H42&lt;=C$8,1/(1+C$9)^H42,0)</f>
        <v>0.564473930053777</v>
      </c>
      <c r="K42" s="18" t="n">
        <f aca="false">I42*J42</f>
        <v>764.416659079501</v>
      </c>
    </row>
    <row r="43" customFormat="false" ht="15" hidden="false" customHeight="false" outlineLevel="0" collapsed="false">
      <c r="B43" s="17" t="n">
        <v>7</v>
      </c>
      <c r="C43" s="18" t="n">
        <f aca="false">IF(B43&lt;=C$8,C$26,0)</f>
        <v>102500</v>
      </c>
      <c r="D43" s="18" t="n">
        <f aca="false">IF(B43&lt;=C$8,C$31,0)</f>
        <v>-101145.789259024</v>
      </c>
      <c r="E43" s="18" t="n">
        <f aca="false">IF(B43=C$8,C$26/C$9,0)</f>
        <v>0</v>
      </c>
      <c r="F43" s="18" t="n">
        <f aca="false">C43+D43+E43</f>
        <v>1354.21074097554</v>
      </c>
      <c r="H43" s="17" t="n">
        <v>7</v>
      </c>
      <c r="I43" s="18" t="n">
        <f aca="false">F43</f>
        <v>1354.21074097554</v>
      </c>
      <c r="J43" s="19" t="n">
        <f aca="false">IF(H43&lt;=C$8,1/(1+C$9)^H43,0)</f>
        <v>0.513158118230707</v>
      </c>
      <c r="K43" s="18" t="n">
        <f aca="false">I43*J43</f>
        <v>694.924235526819</v>
      </c>
    </row>
    <row r="44" customFormat="false" ht="15" hidden="false" customHeight="false" outlineLevel="0" collapsed="false">
      <c r="B44" s="17" t="n">
        <v>8</v>
      </c>
      <c r="C44" s="18" t="n">
        <f aca="false">IF(B44&lt;=C$8,C$26,0)</f>
        <v>102500</v>
      </c>
      <c r="D44" s="18" t="n">
        <f aca="false">IF(B44&lt;=C$8,C$31,0)</f>
        <v>-101145.789259024</v>
      </c>
      <c r="E44" s="18" t="n">
        <f aca="false">IF(B44=C$8,C$26/C$9,0)</f>
        <v>0</v>
      </c>
      <c r="F44" s="18" t="n">
        <f aca="false">C44+D44+E44</f>
        <v>1354.21074097554</v>
      </c>
      <c r="H44" s="17" t="n">
        <v>8</v>
      </c>
      <c r="I44" s="18" t="n">
        <f aca="false">F44</f>
        <v>1354.21074097554</v>
      </c>
      <c r="J44" s="19" t="n">
        <f aca="false">IF(H44&lt;=C$8,1/(1+C$9)^H44,0)</f>
        <v>0.466507380209733</v>
      </c>
      <c r="K44" s="18" t="n">
        <f aca="false">I44*J44</f>
        <v>631.749305024381</v>
      </c>
    </row>
    <row r="45" customFormat="false" ht="15" hidden="false" customHeight="false" outlineLevel="0" collapsed="false">
      <c r="B45" s="17" t="n">
        <v>9</v>
      </c>
      <c r="C45" s="18" t="n">
        <f aca="false">IF(B45&lt;=C$8,C$26,0)</f>
        <v>102500</v>
      </c>
      <c r="D45" s="18" t="n">
        <f aca="false">IF(B45&lt;=C$8,C$31,0)</f>
        <v>-101145.789259024</v>
      </c>
      <c r="E45" s="18" t="n">
        <f aca="false">IF(B45=C$8,C$26/C$9,0)</f>
        <v>0</v>
      </c>
      <c r="F45" s="18" t="n">
        <f aca="false">C45+D45+E45</f>
        <v>1354.21074097554</v>
      </c>
      <c r="H45" s="17" t="n">
        <v>9</v>
      </c>
      <c r="I45" s="18" t="n">
        <f aca="false">F45</f>
        <v>1354.21074097554</v>
      </c>
      <c r="J45" s="19" t="n">
        <f aca="false">IF(H45&lt;=C$8,1/(1+C$9)^H45,0)</f>
        <v>0.424097618372485</v>
      </c>
      <c r="K45" s="18" t="n">
        <f aca="false">I45*J45</f>
        <v>574.317550022165</v>
      </c>
    </row>
    <row r="46" customFormat="false" ht="15" hidden="false" customHeight="false" outlineLevel="0" collapsed="false">
      <c r="B46" s="17" t="n">
        <v>10</v>
      </c>
      <c r="C46" s="18" t="n">
        <f aca="false">IF(B46&lt;=C$8,C$26,0)</f>
        <v>102500</v>
      </c>
      <c r="D46" s="18" t="n">
        <f aca="false">IF(B46&lt;=C$8,C$31,0)</f>
        <v>-101145.789259024</v>
      </c>
      <c r="E46" s="18" t="n">
        <f aca="false">IF(B46=C$8,C$26/C$9,0)</f>
        <v>1025000</v>
      </c>
      <c r="F46" s="18" t="n">
        <f aca="false">C46+D46+E46</f>
        <v>1026354.21074098</v>
      </c>
      <c r="H46" s="17" t="n">
        <v>10</v>
      </c>
      <c r="I46" s="18" t="n">
        <f aca="false">F46</f>
        <v>1026354.21074098</v>
      </c>
      <c r="J46" s="19" t="n">
        <f aca="false">IF(H46&lt;=C$8,1/(1+C$9)^H46,0)</f>
        <v>0.385543289429531</v>
      </c>
      <c r="K46" s="18" t="n">
        <f aca="false">I46*J46</f>
        <v>395703.978528926</v>
      </c>
    </row>
    <row r="47" customFormat="false" ht="15" hidden="false" customHeight="false" outlineLevel="0" collapsed="false">
      <c r="B47" s="17" t="n">
        <v>11</v>
      </c>
      <c r="C47" s="18" t="n">
        <f aca="false">IF(B47&lt;=C$8,C$26,0)</f>
        <v>0</v>
      </c>
      <c r="D47" s="18" t="n">
        <f aca="false">IF(B47&lt;=C$8,C$31,0)</f>
        <v>0</v>
      </c>
      <c r="E47" s="18" t="n">
        <f aca="false">IF(B47=C$8,C$26/C$9,0)</f>
        <v>0</v>
      </c>
      <c r="F47" s="18" t="n">
        <f aca="false">C47+D47+E47</f>
        <v>0</v>
      </c>
      <c r="H47" s="17" t="n">
        <v>11</v>
      </c>
      <c r="I47" s="18" t="n">
        <f aca="false">F47</f>
        <v>0</v>
      </c>
      <c r="J47" s="19" t="n">
        <f aca="false">IF(H47&lt;=C$8,1/(1+C$9)^H47,0)</f>
        <v>0</v>
      </c>
      <c r="K47" s="18" t="n">
        <f aca="false">I47*J47</f>
        <v>0</v>
      </c>
    </row>
    <row r="48" customFormat="false" ht="15" hidden="false" customHeight="false" outlineLevel="0" collapsed="false">
      <c r="B48" s="17" t="n">
        <v>12</v>
      </c>
      <c r="C48" s="18" t="n">
        <f aca="false">IF(B48&lt;=C$8,C$26,0)</f>
        <v>0</v>
      </c>
      <c r="D48" s="18" t="n">
        <f aca="false">IF(B48&lt;=C$8,C$31,0)</f>
        <v>0</v>
      </c>
      <c r="E48" s="18" t="n">
        <f aca="false">IF(B48=C$8,C$26/C$9,0)</f>
        <v>0</v>
      </c>
      <c r="F48" s="18" t="n">
        <f aca="false">C48+D48+E48</f>
        <v>0</v>
      </c>
      <c r="H48" s="17" t="n">
        <v>12</v>
      </c>
      <c r="I48" s="18" t="n">
        <f aca="false">F48</f>
        <v>0</v>
      </c>
      <c r="J48" s="19" t="n">
        <f aca="false">IF(H48&lt;=C$8,1/(1+C$9)^H48,0)</f>
        <v>0</v>
      </c>
      <c r="K48" s="18" t="n">
        <f aca="false">I48*J48</f>
        <v>0</v>
      </c>
    </row>
    <row r="49" customFormat="false" ht="15" hidden="false" customHeight="false" outlineLevel="0" collapsed="false">
      <c r="B49" s="17" t="n">
        <v>13</v>
      </c>
      <c r="C49" s="18" t="n">
        <f aca="false">IF(B49&lt;=C$8,C$26,0)</f>
        <v>0</v>
      </c>
      <c r="D49" s="18" t="n">
        <f aca="false">IF(B49&lt;=C$8,C$31,0)</f>
        <v>0</v>
      </c>
      <c r="E49" s="18" t="n">
        <f aca="false">IF(B49=C$8,C$26/C$9,0)</f>
        <v>0</v>
      </c>
      <c r="F49" s="18" t="n">
        <f aca="false">C49+D49+E49</f>
        <v>0</v>
      </c>
      <c r="H49" s="17" t="n">
        <v>13</v>
      </c>
      <c r="I49" s="18" t="n">
        <f aca="false">F49</f>
        <v>0</v>
      </c>
      <c r="J49" s="19" t="n">
        <f aca="false">IF(H49&lt;=C$8,1/(1+C$9)^H49,0)</f>
        <v>0</v>
      </c>
      <c r="K49" s="18" t="n">
        <f aca="false">I49*J49</f>
        <v>0</v>
      </c>
    </row>
    <row r="50" customFormat="false" ht="15" hidden="false" customHeight="false" outlineLevel="0" collapsed="false">
      <c r="B50" s="17" t="n">
        <v>14</v>
      </c>
      <c r="C50" s="18" t="n">
        <f aca="false">IF(B50&lt;=C$8,C$26,0)</f>
        <v>0</v>
      </c>
      <c r="D50" s="18" t="n">
        <f aca="false">IF(B50&lt;=C$8,C$31,0)</f>
        <v>0</v>
      </c>
      <c r="E50" s="18" t="n">
        <f aca="false">IF(B50=C$8,C$26/C$9,0)</f>
        <v>0</v>
      </c>
      <c r="F50" s="18" t="n">
        <f aca="false">C50+D50+E50</f>
        <v>0</v>
      </c>
      <c r="H50" s="17" t="n">
        <v>14</v>
      </c>
      <c r="I50" s="18" t="n">
        <f aca="false">F50</f>
        <v>0</v>
      </c>
      <c r="J50" s="19" t="n">
        <f aca="false">IF(H50&lt;=C$8,1/(1+C$9)^H50,0)</f>
        <v>0</v>
      </c>
      <c r="K50" s="18" t="n">
        <f aca="false">I50*J50</f>
        <v>0</v>
      </c>
    </row>
    <row r="51" customFormat="false" ht="15" hidden="false" customHeight="false" outlineLevel="0" collapsed="false">
      <c r="B51" s="17" t="n">
        <v>15</v>
      </c>
      <c r="C51" s="18" t="n">
        <f aca="false">IF(B51&lt;=C$8,C$26,0)</f>
        <v>0</v>
      </c>
      <c r="D51" s="18" t="n">
        <f aca="false">IF(B51&lt;=C$8,C$31,0)</f>
        <v>0</v>
      </c>
      <c r="E51" s="18" t="n">
        <f aca="false">IF(B51=C$8,C$26/C$9,0)</f>
        <v>0</v>
      </c>
      <c r="F51" s="18" t="n">
        <f aca="false">C51+D51+E51</f>
        <v>0</v>
      </c>
      <c r="H51" s="17" t="n">
        <v>15</v>
      </c>
      <c r="I51" s="18" t="n">
        <f aca="false">F51</f>
        <v>0</v>
      </c>
      <c r="J51" s="19" t="n">
        <f aca="false">IF(H51&lt;=C$8,1/(1+C$9)^H51,0)</f>
        <v>0</v>
      </c>
      <c r="K51" s="18" t="n">
        <f aca="false">I51*J51</f>
        <v>0</v>
      </c>
    </row>
    <row r="52" customFormat="false" ht="15" hidden="false" customHeight="false" outlineLevel="0" collapsed="false">
      <c r="B52" s="17" t="n">
        <v>16</v>
      </c>
      <c r="C52" s="18" t="n">
        <f aca="false">IF(B52&lt;=C$8,C$26,0)</f>
        <v>0</v>
      </c>
      <c r="D52" s="18" t="n">
        <f aca="false">IF(B52&lt;=C$8,C$31,0)</f>
        <v>0</v>
      </c>
      <c r="E52" s="18" t="n">
        <f aca="false">IF(B52=C$8,C$26/C$9,0)</f>
        <v>0</v>
      </c>
      <c r="F52" s="18" t="n">
        <f aca="false">C52+D52+E52</f>
        <v>0</v>
      </c>
      <c r="H52" s="17" t="n">
        <v>16</v>
      </c>
      <c r="I52" s="18" t="n">
        <f aca="false">F52</f>
        <v>0</v>
      </c>
      <c r="J52" s="19" t="n">
        <f aca="false">IF(H52&lt;=C$8,1/(1+C$9)^H52,0)</f>
        <v>0</v>
      </c>
      <c r="K52" s="18" t="n">
        <f aca="false">I52*J52</f>
        <v>0</v>
      </c>
    </row>
    <row r="53" customFormat="false" ht="15" hidden="false" customHeight="false" outlineLevel="0" collapsed="false">
      <c r="B53" s="17" t="n">
        <v>17</v>
      </c>
      <c r="C53" s="18" t="n">
        <f aca="false">IF(B53&lt;=C$8,C$26,0)</f>
        <v>0</v>
      </c>
      <c r="D53" s="18" t="n">
        <f aca="false">IF(B53&lt;=C$8,C$31,0)</f>
        <v>0</v>
      </c>
      <c r="E53" s="18" t="n">
        <f aca="false">IF(B53=C$8,C$26/C$9,0)</f>
        <v>0</v>
      </c>
      <c r="F53" s="18" t="n">
        <f aca="false">C53+D53+E53</f>
        <v>0</v>
      </c>
      <c r="H53" s="17" t="n">
        <v>17</v>
      </c>
      <c r="I53" s="18" t="n">
        <f aca="false">F53</f>
        <v>0</v>
      </c>
      <c r="J53" s="19" t="n">
        <f aca="false">IF(H53&lt;=C$8,1/(1+C$9)^H53,0)</f>
        <v>0</v>
      </c>
      <c r="K53" s="18" t="n">
        <f aca="false">I53*J53</f>
        <v>0</v>
      </c>
    </row>
    <row r="54" customFormat="false" ht="15" hidden="false" customHeight="false" outlineLevel="0" collapsed="false">
      <c r="B54" s="17" t="n">
        <v>18</v>
      </c>
      <c r="C54" s="18" t="n">
        <f aca="false">IF(B54&lt;=C$8,C$26,0)</f>
        <v>0</v>
      </c>
      <c r="D54" s="18" t="n">
        <f aca="false">IF(B54&lt;=C$8,C$31,0)</f>
        <v>0</v>
      </c>
      <c r="E54" s="18" t="n">
        <f aca="false">IF(B54=C$8,C$26/C$9,0)</f>
        <v>0</v>
      </c>
      <c r="F54" s="18" t="n">
        <f aca="false">C54+D54+E54</f>
        <v>0</v>
      </c>
      <c r="H54" s="17" t="n">
        <v>18</v>
      </c>
      <c r="I54" s="18" t="n">
        <f aca="false">F54</f>
        <v>0</v>
      </c>
      <c r="J54" s="19" t="n">
        <f aca="false">IF(H54&lt;=C$8,1/(1+C$9)^H54,0)</f>
        <v>0</v>
      </c>
      <c r="K54" s="18" t="n">
        <f aca="false">I54*J54</f>
        <v>0</v>
      </c>
    </row>
    <row r="55" customFormat="false" ht="15" hidden="false" customHeight="false" outlineLevel="0" collapsed="false">
      <c r="B55" s="17" t="n">
        <v>19</v>
      </c>
      <c r="C55" s="18" t="n">
        <f aca="false">IF(B55&lt;=C$8,C$26,0)</f>
        <v>0</v>
      </c>
      <c r="D55" s="18" t="n">
        <f aca="false">IF(B55&lt;=C$8,C$31,0)</f>
        <v>0</v>
      </c>
      <c r="E55" s="18" t="n">
        <f aca="false">IF(B55=C$8,C$26/C$9,0)</f>
        <v>0</v>
      </c>
      <c r="F55" s="18" t="n">
        <f aca="false">C55+D55+E55</f>
        <v>0</v>
      </c>
      <c r="H55" s="17" t="n">
        <v>19</v>
      </c>
      <c r="I55" s="18" t="n">
        <f aca="false">F55</f>
        <v>0</v>
      </c>
      <c r="J55" s="19" t="n">
        <f aca="false">IF(H55&lt;=C$8,1/(1+C$9)^H55,0)</f>
        <v>0</v>
      </c>
      <c r="K55" s="18" t="n">
        <f aca="false">I55*J55</f>
        <v>0</v>
      </c>
    </row>
    <row r="56" customFormat="false" ht="15" hidden="false" customHeight="false" outlineLevel="0" collapsed="false">
      <c r="B56" s="17" t="n">
        <v>20</v>
      </c>
      <c r="C56" s="18" t="n">
        <f aca="false">IF(B56&lt;=C$8,C$26,0)</f>
        <v>0</v>
      </c>
      <c r="D56" s="18" t="n">
        <f aca="false">IF(B56&lt;=C$8,C$31,0)</f>
        <v>0</v>
      </c>
      <c r="E56" s="18" t="n">
        <f aca="false">IF(B56=C$8,C$26/C$9,0)</f>
        <v>0</v>
      </c>
      <c r="F56" s="18" t="n">
        <f aca="false">C56+D56+E56</f>
        <v>0</v>
      </c>
      <c r="H56" s="17" t="n">
        <v>20</v>
      </c>
      <c r="I56" s="18" t="n">
        <f aca="false">F56</f>
        <v>0</v>
      </c>
      <c r="J56" s="19" t="n">
        <f aca="false">IF(H56&lt;=C$8,1/(1+C$9)^H56,0)</f>
        <v>0</v>
      </c>
      <c r="K56" s="18" t="n">
        <f aca="false">I56*J56</f>
        <v>0</v>
      </c>
    </row>
    <row r="57" customFormat="false" ht="15" hidden="false" customHeight="false" outlineLevel="0" collapsed="false">
      <c r="B57" s="17" t="n">
        <v>21</v>
      </c>
      <c r="C57" s="18" t="n">
        <f aca="false">IF(B57&lt;=C$8,C$26,0)</f>
        <v>0</v>
      </c>
      <c r="D57" s="18" t="n">
        <f aca="false">IF(B57&lt;=C$8,C$31,0)</f>
        <v>0</v>
      </c>
      <c r="E57" s="18" t="n">
        <f aca="false">IF(B57=C$8,C$26/C$9,0)</f>
        <v>0</v>
      </c>
      <c r="F57" s="18" t="n">
        <f aca="false">C57+D57+E57</f>
        <v>0</v>
      </c>
      <c r="H57" s="17" t="n">
        <v>21</v>
      </c>
      <c r="I57" s="18" t="n">
        <f aca="false">F57</f>
        <v>0</v>
      </c>
      <c r="J57" s="19" t="n">
        <f aca="false">IF(H57&lt;=C$8,1/(1+C$9)^H57,0)</f>
        <v>0</v>
      </c>
      <c r="K57" s="18" t="n">
        <f aca="false">I57*J57</f>
        <v>0</v>
      </c>
    </row>
    <row r="58" customFormat="false" ht="15" hidden="false" customHeight="false" outlineLevel="0" collapsed="false">
      <c r="B58" s="17" t="n">
        <v>22</v>
      </c>
      <c r="C58" s="18" t="n">
        <f aca="false">IF(B58&lt;=C$8,C$26,0)</f>
        <v>0</v>
      </c>
      <c r="D58" s="18" t="n">
        <f aca="false">IF(B58&lt;=C$8,C$31,0)</f>
        <v>0</v>
      </c>
      <c r="E58" s="18" t="n">
        <f aca="false">IF(B58=C$8,C$26/C$9,0)</f>
        <v>0</v>
      </c>
      <c r="F58" s="18" t="n">
        <f aca="false">C58+D58+E58</f>
        <v>0</v>
      </c>
      <c r="H58" s="17" t="n">
        <v>22</v>
      </c>
      <c r="I58" s="18" t="n">
        <f aca="false">F58</f>
        <v>0</v>
      </c>
      <c r="J58" s="19" t="n">
        <f aca="false">IF(H58&lt;=C$8,1/(1+C$9)^H58,0)</f>
        <v>0</v>
      </c>
      <c r="K58" s="18" t="n">
        <f aca="false">I58*J58</f>
        <v>0</v>
      </c>
    </row>
    <row r="59" customFormat="false" ht="15" hidden="false" customHeight="false" outlineLevel="0" collapsed="false">
      <c r="B59" s="17" t="n">
        <v>23</v>
      </c>
      <c r="C59" s="18" t="n">
        <f aca="false">IF(B59&lt;=C$8,C$26,0)</f>
        <v>0</v>
      </c>
      <c r="D59" s="18" t="n">
        <f aca="false">IF(B59&lt;=C$8,C$31,0)</f>
        <v>0</v>
      </c>
      <c r="E59" s="18" t="n">
        <f aca="false">IF(B59=C$8,C$26/C$9,0)</f>
        <v>0</v>
      </c>
      <c r="F59" s="18" t="n">
        <f aca="false">C59+D59+E59</f>
        <v>0</v>
      </c>
      <c r="H59" s="17" t="n">
        <v>23</v>
      </c>
      <c r="I59" s="18" t="n">
        <f aca="false">F59</f>
        <v>0</v>
      </c>
      <c r="J59" s="19" t="n">
        <f aca="false">IF(H59&lt;=C$8,1/(1+C$9)^H59,0)</f>
        <v>0</v>
      </c>
      <c r="K59" s="18" t="n">
        <f aca="false">I59*J59</f>
        <v>0</v>
      </c>
    </row>
    <row r="60" customFormat="false" ht="15" hidden="false" customHeight="false" outlineLevel="0" collapsed="false">
      <c r="B60" s="17" t="n">
        <v>24</v>
      </c>
      <c r="C60" s="18" t="n">
        <f aca="false">IF(B60&lt;=C$8,C$26,0)</f>
        <v>0</v>
      </c>
      <c r="D60" s="18" t="n">
        <f aca="false">IF(B60&lt;=C$8,C$31,0)</f>
        <v>0</v>
      </c>
      <c r="E60" s="18" t="n">
        <f aca="false">IF(B60=C$8,C$26/C$9,0)</f>
        <v>0</v>
      </c>
      <c r="F60" s="18" t="n">
        <f aca="false">C60+D60+E60</f>
        <v>0</v>
      </c>
      <c r="H60" s="17" t="n">
        <v>24</v>
      </c>
      <c r="I60" s="18" t="n">
        <f aca="false">F60</f>
        <v>0</v>
      </c>
      <c r="J60" s="19" t="n">
        <f aca="false">IF(H60&lt;=C$8,1/(1+C$9)^H60,0)</f>
        <v>0</v>
      </c>
      <c r="K60" s="18" t="n">
        <f aca="false">I60*J60</f>
        <v>0</v>
      </c>
    </row>
    <row r="61" customFormat="false" ht="15" hidden="false" customHeight="false" outlineLevel="0" collapsed="false">
      <c r="B61" s="17" t="n">
        <v>25</v>
      </c>
      <c r="C61" s="18" t="n">
        <f aca="false">IF(B61&lt;=C$8,C$26,0)</f>
        <v>0</v>
      </c>
      <c r="D61" s="18" t="n">
        <f aca="false">IF(B61&lt;=C$8,C$31,0)</f>
        <v>0</v>
      </c>
      <c r="E61" s="18" t="n">
        <f aca="false">IF(B61=C$8,C$26/C$9,0)</f>
        <v>0</v>
      </c>
      <c r="F61" s="18" t="n">
        <f aca="false">C61+D61+E61</f>
        <v>0</v>
      </c>
      <c r="H61" s="17" t="n">
        <v>25</v>
      </c>
      <c r="I61" s="18" t="n">
        <f aca="false">F61</f>
        <v>0</v>
      </c>
      <c r="J61" s="19" t="n">
        <f aca="false">IF(H61&lt;=C$8,1/(1+C$9)^H61,0)</f>
        <v>0</v>
      </c>
      <c r="K61" s="18" t="n">
        <f aca="false">I61*J61</f>
        <v>0</v>
      </c>
    </row>
    <row r="64" customFormat="false" ht="15" hidden="false" customHeight="false" outlineLevel="0" collapsed="false">
      <c r="B64" s="2" t="s">
        <v>37</v>
      </c>
      <c r="E64" s="2" t="s">
        <v>38</v>
      </c>
    </row>
    <row r="65" customFormat="false" ht="15" hidden="false" customHeight="false" outlineLevel="0" collapsed="false">
      <c r="B65" s="7" t="s">
        <v>39</v>
      </c>
      <c r="C65" s="11" t="n">
        <f aca="false">SUM(K36:K61)</f>
        <v>-116497.08956154</v>
      </c>
      <c r="E65" s="7" t="s">
        <v>40</v>
      </c>
      <c r="F65" s="11" t="n">
        <f aca="false">C6+C22+C23</f>
        <v>2120000</v>
      </c>
    </row>
    <row r="66" customFormat="false" ht="15" hidden="false" customHeight="false" outlineLevel="0" collapsed="false">
      <c r="B66" s="7" t="s">
        <v>41</v>
      </c>
      <c r="C66" s="20" t="n">
        <f aca="false">IRR(F36:F61)</f>
        <v>0.0721750822429501</v>
      </c>
      <c r="E66" s="7" t="s">
        <v>42</v>
      </c>
      <c r="F66" s="11" t="n">
        <f aca="false">C12*C5</f>
        <v>2400000</v>
      </c>
    </row>
    <row r="67" customFormat="false" ht="15" hidden="false" customHeight="false" outlineLevel="0" collapsed="false">
      <c r="B67" s="7" t="s">
        <v>43</v>
      </c>
      <c r="C67" s="20" t="n">
        <f aca="false">C26/C27</f>
        <v>0.197115384615385</v>
      </c>
      <c r="E67" s="7" t="s">
        <v>44</v>
      </c>
      <c r="F67" s="21" t="n">
        <f aca="false">(C65+C27)/C27</f>
        <v>0.775967135458577</v>
      </c>
    </row>
    <row r="68" customFormat="false" ht="15" hidden="false" customHeight="false" outlineLevel="0" collapsed="false">
      <c r="B68" s="7" t="s">
        <v>45</v>
      </c>
      <c r="C68" s="22" t="n">
        <f aca="false">C27/C31</f>
        <v>-5.14109389831673</v>
      </c>
      <c r="E68" s="7" t="s">
        <v>46</v>
      </c>
      <c r="F68" s="20" t="n">
        <f aca="false">C26/C6</f>
        <v>0.05125</v>
      </c>
    </row>
    <row r="69" customFormat="false" ht="15" hidden="false" customHeight="false" outlineLevel="0" collapsed="false">
      <c r="B69" s="7" t="s">
        <v>47</v>
      </c>
      <c r="C69" s="20" t="n">
        <f aca="false">C31/C27</f>
        <v>-0.194511133190432</v>
      </c>
      <c r="E69" s="7" t="s">
        <v>48</v>
      </c>
      <c r="F69" s="20" t="n">
        <f aca="false">C24/C6</f>
        <v>0.07</v>
      </c>
    </row>
    <row r="72" customFormat="false" ht="15" hidden="false" customHeight="false" outlineLevel="0" collapsed="false">
      <c r="B72" s="7" t="s">
        <v>49</v>
      </c>
    </row>
    <row r="73" customFormat="false" ht="15" hidden="false" customHeight="false" outlineLevel="0" collapsed="false">
      <c r="B73" s="0" t="s">
        <v>50</v>
      </c>
    </row>
    <row r="74" customFormat="false" ht="15" hidden="false" customHeight="false" outlineLevel="0" collapsed="false">
      <c r="B74" s="0" t="s">
        <v>51</v>
      </c>
    </row>
    <row r="75" customFormat="false" ht="15" hidden="false" customHeight="false" outlineLevel="0" collapsed="false">
      <c r="B75" s="0" t="s">
        <v>52</v>
      </c>
    </row>
    <row r="76" customFormat="false" ht="15" hidden="false" customHeight="false" outlineLevel="0" collapsed="false">
      <c r="B76" s="0" t="s">
        <v>53</v>
      </c>
    </row>
    <row r="77" customFormat="false" ht="15" hidden="false" customHeight="false" outlineLevel="0" collapsed="false">
      <c r="B77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2026-02-02T05:05:20Z</dcterms:created>
  <dc:creator>openpyxl</dc:creator>
  <dc:description/>
  <dc:language>en-US</dc:language>
  <cp:lastModifiedBy/>
  <dcterms:modified xsi:type="dcterms:W3CDTF">2026-02-02T05:05:20Z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