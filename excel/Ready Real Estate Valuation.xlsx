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<sst xmlns="http://schemas.openxmlformats.org/spreadsheetml/2006/main" count="41" uniqueCount="41">
  <si>
    <t xml:space="preserve">Ready Real Estate Investment Financial Feasibility                </t>
  </si>
  <si>
    <t>Inputs</t>
  </si>
  <si>
    <t>Size (sq ft)</t>
  </si>
  <si>
    <t>1189</t>
  </si>
  <si>
    <t>Total Value</t>
  </si>
  <si>
    <t>Down Payment %</t>
  </si>
  <si>
    <t>Tenure (Years)</t>
  </si>
  <si>
    <t>Discount Rate</t>
  </si>
  <si>
    <t>Rental ROI %</t>
  </si>
  <si>
    <t>Service Charges</t>
  </si>
  <si>
    <t>Potential (price per sq ft)</t>
  </si>
  <si>
    <t>Computations</t>
  </si>
  <si>
    <t>Price (per sq ft)</t>
  </si>
  <si>
    <t>Down Payment Amount</t>
  </si>
  <si>
    <t>Dubai Land Department: 4%</t>
  </si>
  <si>
    <t>Agent Comission: 2%</t>
  </si>
  <si>
    <t>Rental Amount (Annualized)</t>
  </si>
  <si>
    <t xml:space="preserve">Service Charges (Annualized) </t>
  </si>
  <si>
    <t>Net Operating Profit (Annualized)</t>
  </si>
  <si>
    <t>Invested Capital</t>
  </si>
  <si>
    <t>Financing Amount</t>
  </si>
  <si>
    <t>EMI</t>
  </si>
  <si>
    <t>Loan Amount (Annualized)</t>
  </si>
  <si>
    <t>Net Cash Flow (Annualized)</t>
  </si>
  <si>
    <t xml:space="preserve">Cash Flow Analysis (Buyer) </t>
  </si>
  <si>
    <t>Timeline (Years)</t>
  </si>
  <si>
    <t>Gross Cash Flows (Feeling)</t>
  </si>
  <si>
    <t>Net Cash Flows (Hard Core)</t>
  </si>
  <si>
    <t>Terminal Value (Discounted to Present Value)</t>
  </si>
  <si>
    <t>Terminal Value (Nominal)</t>
  </si>
  <si>
    <t>Bottom Line</t>
  </si>
  <si>
    <t>DCF</t>
  </si>
  <si>
    <t>NPV</t>
  </si>
  <si>
    <t>DSCR</t>
  </si>
  <si>
    <t>IRR</t>
  </si>
  <si>
    <t>Return On Invested Capital (ROIC)</t>
  </si>
  <si>
    <t>Positive NPV and IRR indicates that this investments creates value over time.</t>
  </si>
  <si>
    <t>Assumptions</t>
  </si>
  <si>
    <t>Property will always remain on Rent</t>
  </si>
  <si>
    <t>Learnings</t>
  </si>
  <si>
    <t>When we buy property using debt, inflation works for us because Banks are trying to get rid of cash.
Overtime, if we are able to payback debt by outsourcing it to tenant and earn a little extra cash on top, 
then we have not only earned some profits also we have beaten the inflation.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</si>
</sst>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h]#,##0"/>
    <numFmt numFmtId="165" formatCode="0.0%"/>
    <numFmt numFmtId="166" formatCode="[$dh]#,##0.00"/>
    <numFmt numFmtId="167" formatCode="&quot;$&quot;#,##0.00"/>
    <numFmt numFmtId="168" formatCode="0.00x"/>
  </numFmts>
  <fonts count="6">
    <font>
      <sz val="10.0"/>
      <color rgb="FF000000"/>
      <name val="Arial"/>
      <scheme val="minor"/>
    </font>
    <font>
      <b/>
      <sz val="12.0"/>
      <color theme="1"/>
      <name val="Arial"/>
    </font>
    <font>
      <color theme="1"/>
      <name val="Arial"/>
    </font>
    <font>
      <sz val="12.0"/>
      <color theme="1"/>
      <name val="Arial"/>
    </font>
    <font>
      <sz val="12.0"/>
      <color rgb="FFFF0000"/>
      <name val="Arial"/>
    </font>
    <font>
      <i/>
      <sz val="12.0"/>
      <color theme="1"/>
      <name val="Arial"/>
    </font>
  </fonts>
  <fills count="6">
    <fill>
      <patternFill patternType="none"/>
    </fill>
    <fill>
      <patternFill patternType="lightGray"/>
    </fill>
    <fill>
      <patternFill patternType="solid">
        <fgColor rgb="FFF6B26B"/>
        <bgColor rgb="FFF6B26B"/>
      </patternFill>
    </fill>
    <fill>
      <patternFill patternType="solid">
        <fgColor rgb="FFFCE5CD"/>
        <bgColor rgb="FFFCE5CD"/>
      </patternFill>
    </fill>
    <fill>
      <patternFill patternType="solid">
        <fgColor rgb="FFFFFFFF"/>
        <bgColor rgb="FFFFFFFF"/>
      </patternFill>
    </fill>
    <fill>
      <patternFill patternType="solid">
        <fgColor rgb="FFB6D7A8"/>
        <bgColor rgb="FFB6D7A8"/>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3" fontId="1" numFmtId="0" xfId="0" applyAlignment="1" applyFill="1" applyFont="1">
      <alignment vertical="bottom"/>
    </xf>
    <xf borderId="0" fillId="3" fontId="2" numFmtId="0" xfId="0" applyAlignment="1" applyFont="1">
      <alignment vertical="bottom"/>
    </xf>
    <xf borderId="0" fillId="0" fontId="3" numFmtId="0" xfId="0" applyAlignment="1" applyFont="1">
      <alignment vertical="bottom"/>
    </xf>
    <xf borderId="0" fillId="0" fontId="3" numFmtId="49" xfId="0" applyAlignment="1" applyFont="1" applyNumberFormat="1">
      <alignment horizontal="right" readingOrder="0" vertical="bottom"/>
    </xf>
    <xf borderId="0" fillId="0" fontId="3" numFmtId="164" xfId="0" applyAlignment="1" applyFont="1" applyNumberFormat="1">
      <alignment horizontal="right" readingOrder="0" vertical="bottom"/>
    </xf>
    <xf borderId="0" fillId="0" fontId="2" numFmtId="10" xfId="0" applyAlignment="1" applyFont="1" applyNumberFormat="1">
      <alignment vertical="bottom"/>
    </xf>
    <xf borderId="0" fillId="0" fontId="2" numFmtId="164" xfId="0" applyAlignment="1" applyFont="1" applyNumberFormat="1">
      <alignment vertical="bottom"/>
    </xf>
    <xf borderId="0" fillId="0" fontId="3" numFmtId="9" xfId="0" applyAlignment="1" applyFont="1" applyNumberFormat="1">
      <alignment horizontal="right" readingOrder="0" vertical="bottom"/>
    </xf>
    <xf borderId="0" fillId="0" fontId="3" numFmtId="0" xfId="0" applyAlignment="1" applyFont="1">
      <alignment horizontal="right" readingOrder="0" vertical="bottom"/>
    </xf>
    <xf borderId="0" fillId="0" fontId="3" numFmtId="165" xfId="0" applyAlignment="1" applyFont="1" applyNumberFormat="1">
      <alignment horizontal="right" readingOrder="0" vertical="bottom"/>
    </xf>
    <xf borderId="0" fillId="0" fontId="3" numFmtId="10" xfId="0" applyAlignment="1" applyFont="1" applyNumberFormat="1">
      <alignment horizontal="right" readingOrder="0" vertical="bottom"/>
    </xf>
    <xf borderId="0" fillId="0" fontId="4" numFmtId="0" xfId="0" applyAlignment="1" applyFont="1">
      <alignment vertical="bottom"/>
    </xf>
    <xf borderId="0" fillId="0" fontId="3" numFmtId="164" xfId="0" applyAlignment="1" applyFont="1" applyNumberFormat="1">
      <alignment horizontal="right" vertical="bottom"/>
    </xf>
    <xf borderId="0" fillId="0" fontId="3" numFmtId="166" xfId="0" applyAlignment="1" applyFont="1" applyNumberFormat="1">
      <alignment horizontal="right" vertical="bottom"/>
    </xf>
    <xf borderId="0" fillId="0" fontId="4" numFmtId="166" xfId="0" applyAlignment="1" applyFont="1" applyNumberFormat="1">
      <alignment horizontal="right" vertical="bottom"/>
    </xf>
    <xf borderId="0" fillId="0" fontId="3" numFmtId="167" xfId="0" applyAlignment="1" applyFont="1" applyNumberFormat="1">
      <alignment horizontal="right" vertical="bottom"/>
    </xf>
    <xf borderId="0" fillId="4" fontId="2" numFmtId="10" xfId="0" applyAlignment="1" applyFill="1" applyFont="1" applyNumberFormat="1">
      <alignment vertical="bottom"/>
    </xf>
    <xf borderId="0" fillId="0" fontId="3" numFmtId="164" xfId="0" applyAlignment="1" applyFont="1" applyNumberFormat="1">
      <alignment vertical="bottom"/>
    </xf>
    <xf borderId="0" fillId="3" fontId="1" numFmtId="164" xfId="0" applyAlignment="1" applyFont="1" applyNumberFormat="1">
      <alignment vertical="bottom"/>
    </xf>
    <xf borderId="0" fillId="3" fontId="2" numFmtId="164" xfId="0" applyAlignment="1" applyFont="1" applyNumberFormat="1">
      <alignment vertical="bottom"/>
    </xf>
    <xf borderId="0" fillId="0" fontId="2" numFmtId="166" xfId="0" applyAlignment="1" applyFont="1" applyNumberFormat="1">
      <alignment vertical="bottom"/>
    </xf>
    <xf borderId="0" fillId="0" fontId="3" numFmtId="164" xfId="0" applyAlignment="1" applyFont="1" applyNumberFormat="1">
      <alignment vertical="bottom"/>
    </xf>
    <xf borderId="0" fillId="0" fontId="3" numFmtId="0" xfId="0" applyAlignment="1" applyFont="1">
      <alignment horizontal="center" vertical="bottom"/>
    </xf>
    <xf borderId="0" fillId="0" fontId="3" numFmtId="0" xfId="0" applyAlignment="1" applyFont="1">
      <alignment horizontal="center" vertical="bottom"/>
    </xf>
    <xf borderId="0" fillId="0" fontId="3" numFmtId="0" xfId="0" applyAlignment="1" applyFont="1">
      <alignment horizontal="right" vertical="bottom"/>
    </xf>
    <xf borderId="0" fillId="0" fontId="3" numFmtId="166" xfId="0" applyAlignment="1" applyFont="1" applyNumberFormat="1">
      <alignment horizontal="right" vertical="bottom"/>
    </xf>
    <xf borderId="0" fillId="0" fontId="3" numFmtId="166" xfId="0" applyAlignment="1" applyFont="1" applyNumberFormat="1">
      <alignment horizontal="right" vertical="bottom"/>
    </xf>
    <xf borderId="0" fillId="0" fontId="3" numFmtId="164" xfId="0" applyAlignment="1" applyFont="1" applyNumberFormat="1">
      <alignment readingOrder="0" vertical="bottom"/>
    </xf>
    <xf borderId="0" fillId="0" fontId="3" numFmtId="164" xfId="0" applyAlignment="1" applyFont="1" applyNumberFormat="1">
      <alignment horizontal="right" vertical="bottom"/>
    </xf>
    <xf borderId="0" fillId="0" fontId="3" numFmtId="0" xfId="0" applyAlignment="1" applyFont="1">
      <alignment readingOrder="0" vertical="bottom"/>
    </xf>
    <xf borderId="0" fillId="0" fontId="3" numFmtId="168" xfId="0" applyAlignment="1" applyFont="1" applyNumberFormat="1">
      <alignment horizontal="right" vertical="bottom"/>
    </xf>
    <xf borderId="0" fillId="0" fontId="3" numFmtId="10" xfId="0" applyAlignment="1" applyFont="1" applyNumberFormat="1">
      <alignment horizontal="right" vertical="bottom"/>
    </xf>
    <xf borderId="0" fillId="0" fontId="3" numFmtId="10" xfId="0" applyAlignment="1" applyFont="1" applyNumberFormat="1">
      <alignment horizontal="right" vertical="bottom"/>
    </xf>
    <xf borderId="0" fillId="5" fontId="5" numFmtId="0" xfId="0" applyAlignment="1" applyFill="1" applyFont="1">
      <alignment shrinkToFit="0" vertical="bottom" wrapText="1"/>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0"/>
    <col customWidth="1" min="2" max="2" width="21.75"/>
  </cols>
  <sheetData>
    <row r="1">
      <c r="A1" s="1" t="s">
        <v>0</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c r="A2" s="3" t="s">
        <v>1</v>
      </c>
      <c r="B2" s="4"/>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row>
    <row r="3">
      <c r="A3" s="5" t="s">
        <v>2</v>
      </c>
      <c r="B3" s="6" t="s">
        <v>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row>
    <row r="4">
      <c r="A4" s="5" t="s">
        <v>4</v>
      </c>
      <c r="B4" s="7">
        <v>1560000.0</v>
      </c>
      <c r="C4" s="2"/>
      <c r="D4" s="8"/>
      <c r="E4" s="9"/>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row>
    <row r="5">
      <c r="A5" s="5" t="s">
        <v>5</v>
      </c>
      <c r="B5" s="10">
        <v>0.2</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row>
    <row r="6">
      <c r="A6" s="5" t="s">
        <v>6</v>
      </c>
      <c r="B6" s="11">
        <v>20.0</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row>
    <row r="7">
      <c r="A7" s="5" t="s">
        <v>7</v>
      </c>
      <c r="B7" s="12">
        <v>0.0412</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row>
    <row r="8">
      <c r="A8" s="5" t="s">
        <v>8</v>
      </c>
      <c r="B8" s="13">
        <v>0.06</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row>
    <row r="9">
      <c r="A9" s="5" t="s">
        <v>9</v>
      </c>
      <c r="B9" s="7">
        <v>10.0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row>
    <row r="10">
      <c r="A10" s="14" t="s">
        <v>10</v>
      </c>
      <c r="B10" s="15">
        <v>1400.0</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row>
    <row r="11">
      <c r="A11" s="3" t="s">
        <v>11</v>
      </c>
      <c r="B11" s="4"/>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row>
    <row r="12">
      <c r="A12" s="5" t="s">
        <v>12</v>
      </c>
      <c r="B12" s="15">
        <f>B4/B3</f>
        <v>1312.026913</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row>
    <row r="13">
      <c r="A13" s="5" t="s">
        <v>13</v>
      </c>
      <c r="B13" s="15">
        <f>B4*B5</f>
        <v>312000</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row>
    <row r="14">
      <c r="A14" s="5" t="s">
        <v>14</v>
      </c>
      <c r="B14" s="15">
        <f>B4*4%</f>
        <v>62400</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row>
    <row r="15">
      <c r="A15" s="5" t="s">
        <v>15</v>
      </c>
      <c r="B15" s="15">
        <f>B4*2%</f>
        <v>31200</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row>
    <row r="16">
      <c r="A16" s="5" t="s">
        <v>16</v>
      </c>
      <c r="B16" s="16">
        <f>B4*B8</f>
        <v>93600</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row>
    <row r="17">
      <c r="A17" s="5" t="s">
        <v>17</v>
      </c>
      <c r="B17" s="16">
        <f>B9*B3</f>
        <v>11890</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row>
    <row r="18">
      <c r="A18" s="5" t="s">
        <v>18</v>
      </c>
      <c r="B18" s="16">
        <f>B16-B17</f>
        <v>81710</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row>
    <row r="19">
      <c r="A19" s="14" t="s">
        <v>19</v>
      </c>
      <c r="B19" s="17">
        <f>B13+B14+B15</f>
        <v>405600</v>
      </c>
      <c r="C19" s="18">
        <f>IFERROR(__xludf.DUMMYFUNCTION("B19*GOOGLEFINANCE(""CURRENCY:AEDUSD"")"),110442.47803679999)</f>
        <v>110442.478</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row>
    <row r="20">
      <c r="A20" s="5" t="s">
        <v>20</v>
      </c>
      <c r="B20" s="15">
        <f>B4*(1-B5)</f>
        <v>1248000</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row>
    <row r="21">
      <c r="A21" s="5" t="s">
        <v>21</v>
      </c>
      <c r="B21" s="16">
        <f>PMT(B7/12, B6*12, -B20)</f>
        <v>7641.780623</v>
      </c>
      <c r="C21" s="19"/>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row>
    <row r="22">
      <c r="A22" s="5" t="s">
        <v>22</v>
      </c>
      <c r="B22" s="16">
        <f>B21*12</f>
        <v>91701.36747</v>
      </c>
      <c r="C22" s="8"/>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row>
    <row r="23">
      <c r="A23" s="20" t="s">
        <v>23</v>
      </c>
      <c r="B23" s="16">
        <f>B16-B17-B22</f>
        <v>-9991.367471</v>
      </c>
      <c r="C23" s="8"/>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row>
    <row r="24">
      <c r="A24" s="21" t="s">
        <v>24</v>
      </c>
      <c r="B24" s="2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c r="A25" s="24" t="s">
        <v>25</v>
      </c>
      <c r="B25" s="25">
        <v>0.0</v>
      </c>
      <c r="C25" s="26">
        <f t="array" ref="C25:V25">SEQUENCE(1, B6)</f>
        <v>1</v>
      </c>
      <c r="D25" s="26">
        <v>2.0</v>
      </c>
      <c r="E25" s="26">
        <v>3.0</v>
      </c>
      <c r="F25" s="26">
        <v>4.0</v>
      </c>
      <c r="G25" s="26">
        <v>5.0</v>
      </c>
      <c r="H25" s="26">
        <v>6.0</v>
      </c>
      <c r="I25" s="26">
        <v>7.0</v>
      </c>
      <c r="J25" s="26">
        <v>8.0</v>
      </c>
      <c r="K25" s="26">
        <v>9.0</v>
      </c>
      <c r="L25" s="26">
        <v>10.0</v>
      </c>
      <c r="M25" s="26">
        <v>11.0</v>
      </c>
      <c r="N25" s="26">
        <v>12.0</v>
      </c>
      <c r="O25" s="26">
        <v>13.0</v>
      </c>
      <c r="P25" s="26">
        <v>14.0</v>
      </c>
      <c r="Q25" s="26">
        <v>15.0</v>
      </c>
      <c r="R25" s="26">
        <v>16.0</v>
      </c>
      <c r="S25" s="26">
        <v>17.0</v>
      </c>
      <c r="T25" s="26">
        <v>18.0</v>
      </c>
      <c r="U25" s="26">
        <v>19.0</v>
      </c>
      <c r="V25" s="26">
        <v>20.0</v>
      </c>
      <c r="W25" s="27"/>
      <c r="X25" s="27"/>
      <c r="Y25" s="27"/>
      <c r="Z25" s="27"/>
      <c r="AA25" s="27"/>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row>
    <row r="26">
      <c r="A26" s="24" t="s">
        <v>26</v>
      </c>
      <c r="B26" s="15">
        <f>-B13-B14-B15</f>
        <v>-405600</v>
      </c>
      <c r="C26" s="15">
        <f>IFERROR(__xludf.DUMMYFUNCTION("ArrayFormula(TRANSPOSE(VALUE(FLATTEN((B18)&amp;ARRAYFORMULA(IF(SEQUENCE(1, B6) &lt;= B6, """", """"))))))"),81710.0)</f>
        <v>81710</v>
      </c>
      <c r="D26" s="15">
        <f>IFERROR(__xludf.DUMMYFUNCTION("""COMPUTED_VALUE"""),81710.0)</f>
        <v>81710</v>
      </c>
      <c r="E26" s="15">
        <f>IFERROR(__xludf.DUMMYFUNCTION("""COMPUTED_VALUE"""),81710.0)</f>
        <v>81710</v>
      </c>
      <c r="F26" s="15">
        <f>IFERROR(__xludf.DUMMYFUNCTION("""COMPUTED_VALUE"""),81710.0)</f>
        <v>81710</v>
      </c>
      <c r="G26" s="15">
        <f>IFERROR(__xludf.DUMMYFUNCTION("""COMPUTED_VALUE"""),81710.0)</f>
        <v>81710</v>
      </c>
      <c r="H26" s="15">
        <f>IFERROR(__xludf.DUMMYFUNCTION("""COMPUTED_VALUE"""),81710.0)</f>
        <v>81710</v>
      </c>
      <c r="I26" s="15">
        <f>IFERROR(__xludf.DUMMYFUNCTION("""COMPUTED_VALUE"""),81710.0)</f>
        <v>81710</v>
      </c>
      <c r="J26" s="15">
        <f>IFERROR(__xludf.DUMMYFUNCTION("""COMPUTED_VALUE"""),81710.0)</f>
        <v>81710</v>
      </c>
      <c r="K26" s="15">
        <f>IFERROR(__xludf.DUMMYFUNCTION("""COMPUTED_VALUE"""),81710.0)</f>
        <v>81710</v>
      </c>
      <c r="L26" s="15">
        <f>IFERROR(__xludf.DUMMYFUNCTION("""COMPUTED_VALUE"""),81710.0)</f>
        <v>81710</v>
      </c>
      <c r="M26" s="15">
        <f>IFERROR(__xludf.DUMMYFUNCTION("""COMPUTED_VALUE"""),81710.0)</f>
        <v>81710</v>
      </c>
      <c r="N26" s="15">
        <f>IFERROR(__xludf.DUMMYFUNCTION("""COMPUTED_VALUE"""),81710.0)</f>
        <v>81710</v>
      </c>
      <c r="O26" s="15">
        <f>IFERROR(__xludf.DUMMYFUNCTION("""COMPUTED_VALUE"""),81710.0)</f>
        <v>81710</v>
      </c>
      <c r="P26" s="15">
        <f>IFERROR(__xludf.DUMMYFUNCTION("""COMPUTED_VALUE"""),81710.0)</f>
        <v>81710</v>
      </c>
      <c r="Q26" s="15">
        <f>IFERROR(__xludf.DUMMYFUNCTION("""COMPUTED_VALUE"""),81710.0)</f>
        <v>81710</v>
      </c>
      <c r="R26" s="15">
        <f>IFERROR(__xludf.DUMMYFUNCTION("""COMPUTED_VALUE"""),81710.0)</f>
        <v>81710</v>
      </c>
      <c r="S26" s="15">
        <f>IFERROR(__xludf.DUMMYFUNCTION("""COMPUTED_VALUE"""),81710.0)</f>
        <v>81710</v>
      </c>
      <c r="T26" s="15">
        <f>IFERROR(__xludf.DUMMYFUNCTION("""COMPUTED_VALUE"""),81710.0)</f>
        <v>81710</v>
      </c>
      <c r="U26" s="15">
        <f>IFERROR(__xludf.DUMMYFUNCTION("""COMPUTED_VALUE"""),81710.0)</f>
        <v>81710</v>
      </c>
      <c r="V26" s="15">
        <f>IFERROR(__xludf.DUMMYFUNCTION("""COMPUTED_VALUE"""),81710.0)</f>
        <v>81710</v>
      </c>
      <c r="W26" s="27"/>
      <c r="X26" s="27"/>
      <c r="Y26" s="27"/>
      <c r="Z26" s="27"/>
      <c r="AA26" s="27"/>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row>
    <row r="27">
      <c r="A27" s="24" t="s">
        <v>27</v>
      </c>
      <c r="B27" s="15">
        <f>-B13-B14-B15</f>
        <v>-405600</v>
      </c>
      <c r="C27" s="28">
        <f>IFERROR(__xludf.DUMMYFUNCTION("ArrayFormula(TRANSPOSE(VALUE(FLATTEN(B23&amp;ARRAYFORMULA(IF(SEQUENCE(1, B6) &lt;= B6, """", """"))))))"),-9991.36747134318)</f>
        <v>-9991.367471</v>
      </c>
      <c r="D27" s="28">
        <f>IFERROR(__xludf.DUMMYFUNCTION("""COMPUTED_VALUE"""),-9991.36747134318)</f>
        <v>-9991.367471</v>
      </c>
      <c r="E27" s="28">
        <f>IFERROR(__xludf.DUMMYFUNCTION("""COMPUTED_VALUE"""),-9991.36747134318)</f>
        <v>-9991.367471</v>
      </c>
      <c r="F27" s="28">
        <f>IFERROR(__xludf.DUMMYFUNCTION("""COMPUTED_VALUE"""),-9991.36747134318)</f>
        <v>-9991.367471</v>
      </c>
      <c r="G27" s="28">
        <f>IFERROR(__xludf.DUMMYFUNCTION("""COMPUTED_VALUE"""),-9991.36747134318)</f>
        <v>-9991.367471</v>
      </c>
      <c r="H27" s="28">
        <f>IFERROR(__xludf.DUMMYFUNCTION("""COMPUTED_VALUE"""),-9991.36747134318)</f>
        <v>-9991.367471</v>
      </c>
      <c r="I27" s="28">
        <f>IFERROR(__xludf.DUMMYFUNCTION("""COMPUTED_VALUE"""),-9991.36747134318)</f>
        <v>-9991.367471</v>
      </c>
      <c r="J27" s="28">
        <f>IFERROR(__xludf.DUMMYFUNCTION("""COMPUTED_VALUE"""),-9991.36747134318)</f>
        <v>-9991.367471</v>
      </c>
      <c r="K27" s="28">
        <f>IFERROR(__xludf.DUMMYFUNCTION("""COMPUTED_VALUE"""),-9991.36747134318)</f>
        <v>-9991.367471</v>
      </c>
      <c r="L27" s="28">
        <f>IFERROR(__xludf.DUMMYFUNCTION("""COMPUTED_VALUE"""),-9991.36747134318)</f>
        <v>-9991.367471</v>
      </c>
      <c r="M27" s="28">
        <f>IFERROR(__xludf.DUMMYFUNCTION("""COMPUTED_VALUE"""),-9991.36747134318)</f>
        <v>-9991.367471</v>
      </c>
      <c r="N27" s="28">
        <f>IFERROR(__xludf.DUMMYFUNCTION("""COMPUTED_VALUE"""),-9991.36747134318)</f>
        <v>-9991.367471</v>
      </c>
      <c r="O27" s="28">
        <f>IFERROR(__xludf.DUMMYFUNCTION("""COMPUTED_VALUE"""),-9991.36747134318)</f>
        <v>-9991.367471</v>
      </c>
      <c r="P27" s="28">
        <f>IFERROR(__xludf.DUMMYFUNCTION("""COMPUTED_VALUE"""),-9991.36747134318)</f>
        <v>-9991.367471</v>
      </c>
      <c r="Q27" s="28">
        <f>IFERROR(__xludf.DUMMYFUNCTION("""COMPUTED_VALUE"""),-9991.36747134318)</f>
        <v>-9991.367471</v>
      </c>
      <c r="R27" s="28">
        <f>IFERROR(__xludf.DUMMYFUNCTION("""COMPUTED_VALUE"""),-9991.36747134318)</f>
        <v>-9991.367471</v>
      </c>
      <c r="S27" s="28">
        <f>IFERROR(__xludf.DUMMYFUNCTION("""COMPUTED_VALUE"""),-9991.36747134318)</f>
        <v>-9991.367471</v>
      </c>
      <c r="T27" s="28">
        <f>IFERROR(__xludf.DUMMYFUNCTION("""COMPUTED_VALUE"""),-9991.36747134318)</f>
        <v>-9991.367471</v>
      </c>
      <c r="U27" s="28">
        <f>IFERROR(__xludf.DUMMYFUNCTION("""COMPUTED_VALUE"""),-9991.36747134318)</f>
        <v>-9991.367471</v>
      </c>
      <c r="V27" s="28">
        <f>IFERROR(__xludf.DUMMYFUNCTION("""COMPUTED_VALUE"""),-9991.36747134318)</f>
        <v>-9991.367471</v>
      </c>
      <c r="W27" s="29"/>
      <c r="X27" s="29"/>
      <c r="Y27" s="29"/>
      <c r="Z27" s="29"/>
      <c r="AA27" s="29"/>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c r="A28" s="30" t="s">
        <v>28</v>
      </c>
      <c r="B28" s="31">
        <f>(B3*B10)/(1+B7)^B6</f>
        <v>742380.7491</v>
      </c>
      <c r="C28" s="9"/>
      <c r="D28" s="9"/>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row>
    <row r="29">
      <c r="A29" s="30" t="s">
        <v>29</v>
      </c>
      <c r="B29" s="31">
        <f>B3*B10</f>
        <v>1664600</v>
      </c>
      <c r="C29" s="9"/>
      <c r="D29" s="9"/>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row>
    <row r="30">
      <c r="A30" s="21" t="s">
        <v>30</v>
      </c>
      <c r="B30" s="4"/>
      <c r="C30" s="9"/>
      <c r="D30" s="9"/>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row>
    <row r="31">
      <c r="A31" s="5" t="s">
        <v>31</v>
      </c>
      <c r="B31" s="31">
        <f t="array" ref="B31">NPV(B7, C27:V27)+B28</f>
        <v>608026.3133</v>
      </c>
      <c r="C31" s="9"/>
      <c r="D31" s="9"/>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row>
    <row r="32">
      <c r="A32" s="5" t="s">
        <v>32</v>
      </c>
      <c r="B32" s="31">
        <f t="array" ref="B32">B27+NPV(B7, C27:V27)+B28</f>
        <v>202426.3133</v>
      </c>
      <c r="C32" s="9"/>
      <c r="D32" s="9"/>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row>
    <row r="33">
      <c r="A33" s="32" t="s">
        <v>33</v>
      </c>
      <c r="B33" s="33">
        <f>B18/B22</f>
        <v>0.8910445095</v>
      </c>
      <c r="C33" s="9"/>
      <c r="D33" s="9"/>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row>
    <row r="34">
      <c r="A34" s="5" t="s">
        <v>34</v>
      </c>
      <c r="B34" s="34">
        <f t="array" ref="B34">IRR(HSTACK(B27:V27, B28))</f>
        <v>0.01156776849</v>
      </c>
      <c r="C34" s="9"/>
      <c r="D34" s="9"/>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row>
    <row r="35">
      <c r="A35" s="5" t="s">
        <v>35</v>
      </c>
      <c r="B35" s="35">
        <f>(B31-B19)/B19</f>
        <v>0.4990786818</v>
      </c>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row>
    <row r="36">
      <c r="A36" s="36" t="s">
        <v>36</v>
      </c>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row>
    <row r="37">
      <c r="A37" s="2"/>
      <c r="B37" s="9"/>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row>
    <row r="38">
      <c r="A38" s="2"/>
      <c r="B38" s="9"/>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row>
    <row r="39">
      <c r="A39" s="1" t="s">
        <v>37</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row>
    <row r="40">
      <c r="A40" s="5" t="s">
        <v>38</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row>
    <row r="41">
      <c r="A41" s="2"/>
      <c r="B41" s="8"/>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row>
    <row r="42">
      <c r="A42" s="1" t="s">
        <v>39</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row>
    <row r="43">
      <c r="A43" s="37" t="s">
        <v>40</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row>
    <row r="44">
      <c r="A44" s="2"/>
      <c r="B44" s="9"/>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row>
    <row r="45">
      <c r="A45" s="2"/>
      <c r="B45" s="9"/>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row>
    <row r="47">
      <c r="A47" s="2"/>
      <c r="B47" s="9"/>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c r="A48" s="2"/>
      <c r="B48" s="9"/>
      <c r="C48" s="9"/>
      <c r="D48" s="9"/>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row>
    <row r="49">
      <c r="A49" s="2"/>
      <c r="B49" s="8"/>
      <c r="C49" s="9"/>
      <c r="D49" s="9"/>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row>
    <row r="50">
      <c r="A50" s="2"/>
      <c r="B50" s="9"/>
      <c r="C50" s="9"/>
      <c r="D50" s="9"/>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row>
    <row r="51">
      <c r="A51" s="2"/>
      <c r="B51" s="8"/>
      <c r="C51" s="9"/>
      <c r="D51" s="9"/>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row>
    <row r="52">
      <c r="A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row>
  </sheetData>
  <mergeCells count="7">
    <mergeCell ref="A1:C1"/>
    <mergeCell ref="A36:C36"/>
    <mergeCell ref="A39:C39"/>
    <mergeCell ref="A40:C40"/>
    <mergeCell ref="A42:C42"/>
    <mergeCell ref="A43:F43"/>
    <mergeCell ref="A52:C52"/>
  </mergeCells>
  <drawing r:id="rId1"/>
</worksheet>
</file>