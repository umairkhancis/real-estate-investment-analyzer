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<sst xmlns="http://schemas.openxmlformats.org/spreadsheetml/2006/main" count="36" uniqueCount="36">
  <si>
    <t xml:space="preserve">Offlplan Real Estate Investment Financial Feasibility                </t>
  </si>
  <si>
    <t>Inputs</t>
  </si>
  <si>
    <t>Size (sq ft)</t>
  </si>
  <si>
    <t>850</t>
  </si>
  <si>
    <t>Total Value</t>
  </si>
  <si>
    <t>Down Payment %</t>
  </si>
  <si>
    <t>Construction Tenure (Years)</t>
  </si>
  <si>
    <t>Payment Frequency (Months)</t>
  </si>
  <si>
    <t>Installment (%)</t>
  </si>
  <si>
    <t>Discount Rate</t>
  </si>
  <si>
    <t>Potential (price per sq ft) after construction period</t>
  </si>
  <si>
    <t>Computations</t>
  </si>
  <si>
    <t>Current Price (per sq ft)</t>
  </si>
  <si>
    <t>Down Payment Amount</t>
  </si>
  <si>
    <t>Total Payment During Construction Till Handover (%)</t>
  </si>
  <si>
    <t>Total Payment Till Handover</t>
  </si>
  <si>
    <t>Payment During Construction Phase Till Handover</t>
  </si>
  <si>
    <t>Invested Capital (Today)</t>
  </si>
  <si>
    <t xml:space="preserve">Developer Remaining Amount (Shadow Financing) </t>
  </si>
  <si>
    <t>Developer Installment Amount (Monthly)</t>
  </si>
  <si>
    <t>Developer Installment Amount (Annualized)</t>
  </si>
  <si>
    <t xml:space="preserve">Cash Flow Analysis (Buyer) </t>
  </si>
  <si>
    <t>Timeline (Years)</t>
  </si>
  <si>
    <t>Cash Flows</t>
  </si>
  <si>
    <t>Exit Value at Handover (Discounted to Present Value)</t>
  </si>
  <si>
    <t>Exit Value (Nominal)</t>
  </si>
  <si>
    <t>Bottom Line</t>
  </si>
  <si>
    <t>DCF</t>
  </si>
  <si>
    <t>NPV</t>
  </si>
  <si>
    <t>IRR</t>
  </si>
  <si>
    <t>Return On Invested Capital (ROIC)</t>
  </si>
  <si>
    <t>Positive NPV and IRR indicates that this investments creates value over time.</t>
  </si>
  <si>
    <t>Assumptions</t>
  </si>
  <si>
    <t>Property will always remain on Rent</t>
  </si>
  <si>
    <t>Learnings</t>
  </si>
  <si>
    <t>When we buy property using debt, inflation works for us because Banks are trying to get rid of cash.
Overtime, if we are able to payback debt by outsourcing it to tenant and earn a little extra cash on top, 
then we have not only earned some profits also we have beaten the inflation.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</si>
</sst>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h]#,##0"/>
    <numFmt numFmtId="165" formatCode="0.0%"/>
    <numFmt numFmtId="166" formatCode="&quot;$&quot;#,##0.00"/>
    <numFmt numFmtId="167" formatCode="[$dh]#,##0.00"/>
  </numFmts>
  <fonts count="6">
    <font>
      <sz val="10.0"/>
      <color rgb="FF000000"/>
      <name val="Arial"/>
      <scheme val="minor"/>
    </font>
    <font>
      <b/>
      <sz val="12.0"/>
      <color theme="1"/>
      <name val="Arial"/>
    </font>
    <font>
      <color theme="1"/>
      <name val="Arial"/>
    </font>
    <font>
      <sz val="12.0"/>
      <color theme="1"/>
      <name val="Arial"/>
    </font>
    <font>
      <sz val="12.0"/>
      <color rgb="FFFF0000"/>
      <name val="Arial"/>
    </font>
    <font>
      <i/>
      <sz val="12.0"/>
      <color theme="1"/>
      <name val="Arial"/>
    </font>
  </fonts>
  <fills count="6">
    <fill>
      <patternFill patternType="none"/>
    </fill>
    <fill>
      <patternFill patternType="lightGray"/>
    </fill>
    <fill>
      <patternFill patternType="solid">
        <fgColor rgb="FFF6B26B"/>
        <bgColor rgb="FFF6B26B"/>
      </patternFill>
    </fill>
    <fill>
      <patternFill patternType="solid">
        <fgColor rgb="FFFCE5CD"/>
        <bgColor rgb="FFFCE5CD"/>
      </patternFill>
    </fill>
    <fill>
      <patternFill patternType="solid">
        <fgColor rgb="FFFFFFFF"/>
        <bgColor rgb="FFFFFFFF"/>
      </patternFill>
    </fill>
    <fill>
      <patternFill patternType="solid">
        <fgColor rgb="FFB6D7A8"/>
        <bgColor rgb="FFB6D7A8"/>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3" fontId="1" numFmtId="0" xfId="0" applyAlignment="1" applyFill="1" applyFont="1">
      <alignment vertical="bottom"/>
    </xf>
    <xf borderId="0" fillId="3" fontId="2" numFmtId="0" xfId="0" applyAlignment="1" applyFont="1">
      <alignment vertical="bottom"/>
    </xf>
    <xf borderId="0" fillId="0" fontId="3" numFmtId="0" xfId="0" applyAlignment="1" applyFont="1">
      <alignment vertical="bottom"/>
    </xf>
    <xf borderId="0" fillId="0" fontId="3" numFmtId="49" xfId="0" applyAlignment="1" applyFont="1" applyNumberFormat="1">
      <alignment horizontal="right" vertical="bottom"/>
    </xf>
    <xf borderId="0" fillId="0" fontId="3" numFmtId="164" xfId="0" applyAlignment="1" applyFont="1" applyNumberFormat="1">
      <alignment horizontal="right" vertical="bottom"/>
    </xf>
    <xf borderId="0" fillId="0" fontId="2" numFmtId="10" xfId="0" applyAlignment="1" applyFont="1" applyNumberFormat="1">
      <alignment vertical="bottom"/>
    </xf>
    <xf borderId="0" fillId="0" fontId="2" numFmtId="164" xfId="0" applyAlignment="1" applyFont="1" applyNumberFormat="1">
      <alignment vertical="bottom"/>
    </xf>
    <xf borderId="0" fillId="0" fontId="3" numFmtId="9" xfId="0" applyAlignment="1" applyFont="1" applyNumberFormat="1">
      <alignment horizontal="right" vertical="bottom"/>
    </xf>
    <xf borderId="0" fillId="0" fontId="3" numFmtId="0" xfId="0" applyAlignment="1" applyFont="1">
      <alignment horizontal="right" vertical="bottom"/>
    </xf>
    <xf borderId="0" fillId="0" fontId="3" numFmtId="165" xfId="0" applyAlignment="1" applyFont="1" applyNumberFormat="1">
      <alignment horizontal="right" vertical="bottom"/>
    </xf>
    <xf borderId="0" fillId="0" fontId="4" numFmtId="0" xfId="0" applyAlignment="1" applyFont="1">
      <alignment vertical="bottom"/>
    </xf>
    <xf borderId="0" fillId="0" fontId="3" numFmtId="10" xfId="0" applyAlignment="1" applyFont="1" applyNumberFormat="1">
      <alignment horizontal="right" vertical="bottom"/>
    </xf>
    <xf borderId="0" fillId="0" fontId="4" numFmtId="164" xfId="0" applyAlignment="1" applyFont="1" applyNumberFormat="1">
      <alignment horizontal="right" vertical="bottom"/>
    </xf>
    <xf borderId="0" fillId="0" fontId="3" numFmtId="166" xfId="0" applyAlignment="1" applyFont="1" applyNumberFormat="1">
      <alignment horizontal="right" vertical="bottom"/>
    </xf>
    <xf borderId="0" fillId="0" fontId="3" numFmtId="167" xfId="0" applyAlignment="1" applyFont="1" applyNumberFormat="1">
      <alignment horizontal="right" vertical="bottom"/>
    </xf>
    <xf borderId="0" fillId="4" fontId="2" numFmtId="167" xfId="0" applyAlignment="1" applyFill="1" applyFont="1" applyNumberFormat="1">
      <alignment vertical="bottom"/>
    </xf>
    <xf borderId="0" fillId="0" fontId="2" numFmtId="167" xfId="0" applyAlignment="1" applyFont="1" applyNumberFormat="1">
      <alignment vertical="bottom"/>
    </xf>
    <xf borderId="0" fillId="3" fontId="1" numFmtId="164" xfId="0" applyAlignment="1" applyFont="1" applyNumberFormat="1">
      <alignment vertical="bottom"/>
    </xf>
    <xf borderId="0" fillId="3" fontId="2" numFmtId="164" xfId="0" applyAlignment="1" applyFont="1" applyNumberFormat="1">
      <alignment vertical="bottom"/>
    </xf>
    <xf borderId="0" fillId="0" fontId="3" numFmtId="164" xfId="0" applyAlignment="1" applyFont="1" applyNumberFormat="1">
      <alignment vertical="bottom"/>
    </xf>
    <xf borderId="0" fillId="0" fontId="1" numFmtId="0" xfId="0" applyAlignment="1" applyFont="1">
      <alignment horizontal="center" vertical="bottom"/>
    </xf>
    <xf borderId="0" fillId="0" fontId="1" numFmtId="0" xfId="0" applyAlignment="1" applyFont="1">
      <alignment horizontal="center" vertical="bottom"/>
    </xf>
    <xf borderId="0" fillId="0" fontId="3" numFmtId="164" xfId="0" applyAlignment="1" applyFont="1" applyNumberFormat="1">
      <alignment horizontal="right" vertical="bottom"/>
    </xf>
    <xf borderId="0" fillId="0" fontId="3" numFmtId="10" xfId="0" applyAlignment="1" applyFont="1" applyNumberFormat="1">
      <alignment horizontal="right" vertical="bottom"/>
    </xf>
    <xf borderId="0" fillId="5" fontId="5" numFmtId="0" xfId="0" applyAlignment="1" applyFill="1" applyFont="1">
      <alignment shrinkToFit="0" vertical="bottom" wrapText="1"/>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0"/>
    <col customWidth="1" min="2" max="2" width="18.13"/>
    <col customWidth="1" min="3" max="3" width="14.63"/>
  </cols>
  <sheetData>
    <row r="1">
      <c r="A1" s="1" t="s">
        <v>0</v>
      </c>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row>
    <row r="2">
      <c r="A2" s="3" t="s">
        <v>1</v>
      </c>
      <c r="B2" s="4"/>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row>
    <row r="3">
      <c r="A3" s="5" t="s">
        <v>2</v>
      </c>
      <c r="B3" s="6"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row>
    <row r="4">
      <c r="A4" s="5" t="s">
        <v>4</v>
      </c>
      <c r="B4" s="7">
        <v>850000.0</v>
      </c>
      <c r="C4" s="2"/>
      <c r="D4" s="8"/>
      <c r="E4" s="9"/>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row>
    <row r="5">
      <c r="A5" s="5" t="s">
        <v>5</v>
      </c>
      <c r="B5" s="10">
        <v>0.1</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row>
    <row r="6">
      <c r="A6" s="5" t="s">
        <v>6</v>
      </c>
      <c r="B6" s="11">
        <v>3.0</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row>
    <row r="7">
      <c r="A7" s="5" t="s">
        <v>7</v>
      </c>
      <c r="B7" s="11">
        <v>6.0</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row>
    <row r="8">
      <c r="A8" s="5" t="s">
        <v>8</v>
      </c>
      <c r="B8" s="12">
        <v>0.05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row>
    <row r="9">
      <c r="A9" s="5" t="s">
        <v>9</v>
      </c>
      <c r="B9" s="12">
        <v>0.04</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row>
    <row r="10">
      <c r="A10" s="13" t="s">
        <v>10</v>
      </c>
      <c r="B10" s="7">
        <v>1200.0</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row>
    <row r="11">
      <c r="A11" s="3" t="s">
        <v>11</v>
      </c>
      <c r="B11" s="4"/>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row>
    <row r="12">
      <c r="A12" s="5" t="s">
        <v>12</v>
      </c>
      <c r="B12" s="7">
        <f>B4/B3</f>
        <v>1000</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row>
    <row r="13">
      <c r="A13" s="5" t="s">
        <v>13</v>
      </c>
      <c r="B13" s="7">
        <f>B4*B5</f>
        <v>85000</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row>
    <row r="14">
      <c r="A14" s="5" t="s">
        <v>14</v>
      </c>
      <c r="B14" s="14">
        <f>40%</f>
        <v>0.4</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row>
    <row r="15">
      <c r="A15" s="5" t="s">
        <v>15</v>
      </c>
      <c r="B15" s="7">
        <f>B4*B14</f>
        <v>340000</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row>
    <row r="16">
      <c r="A16" s="5" t="s">
        <v>16</v>
      </c>
      <c r="B16" s="7">
        <f>(B14-B5)*B4</f>
        <v>255000</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row>
    <row r="17">
      <c r="A17" s="13" t="s">
        <v>17</v>
      </c>
      <c r="B17" s="15">
        <f>B13</f>
        <v>85000</v>
      </c>
      <c r="C17" s="16">
        <f>IFERROR(__xludf.DUMMYFUNCTION("B17*GOOGLEFINANCE(""CURRENCY:AEDUSD"")"),23144.996629999998)</f>
        <v>23144.99663</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row>
    <row r="18">
      <c r="A18" s="5" t="s">
        <v>18</v>
      </c>
      <c r="B18" s="7">
        <f>B16</f>
        <v>255000</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row>
    <row r="19">
      <c r="A19" s="5" t="s">
        <v>19</v>
      </c>
      <c r="B19" s="17">
        <f>PMT(0/12, B6*12, -B18)</f>
        <v>7083.333333</v>
      </c>
      <c r="C19" s="18"/>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row>
    <row r="20">
      <c r="A20" s="5" t="s">
        <v>20</v>
      </c>
      <c r="B20" s="17">
        <f>B19*12</f>
        <v>85000</v>
      </c>
      <c r="C20" s="19"/>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row>
    <row r="21">
      <c r="A21" s="20" t="s">
        <v>21</v>
      </c>
      <c r="B21" s="21"/>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row>
    <row r="22">
      <c r="A22" s="22" t="s">
        <v>22</v>
      </c>
      <c r="B22" s="23">
        <v>0.0</v>
      </c>
      <c r="C22" s="24">
        <f t="array" ref="C22:E22">SEQUENCE(1, B6)</f>
        <v>1</v>
      </c>
      <c r="D22" s="24">
        <v>2.0</v>
      </c>
      <c r="E22" s="24">
        <v>3.0</v>
      </c>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row>
    <row r="23">
      <c r="A23" s="22" t="s">
        <v>23</v>
      </c>
      <c r="B23" s="7">
        <f>-B13-B14</f>
        <v>-85000.4</v>
      </c>
      <c r="C23" s="25">
        <f>IFERROR(__xludf.DUMMYFUNCTION("ArrayFormula(TRANSPOSE(VALUE(FLATTEN((-B20)&amp;ARRAYFORMULA(IF(SEQUENCE(1, B6) &lt;= B6, """", """"))))))"),-85000.0)</f>
        <v>-85000</v>
      </c>
      <c r="D23" s="25">
        <f>IFERROR(__xludf.DUMMYFUNCTION("""COMPUTED_VALUE"""),-85000.0)</f>
        <v>-85000</v>
      </c>
      <c r="E23" s="25">
        <f>IFERROR(__xludf.DUMMYFUNCTION("""COMPUTED_VALUE"""),-85000.0)</f>
        <v>-85000</v>
      </c>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row>
    <row r="24">
      <c r="A24" s="22" t="s">
        <v>24</v>
      </c>
      <c r="B24" s="25">
        <f>(B3*B10)*B14/(1+B9)^B6</f>
        <v>362710.5143</v>
      </c>
      <c r="C24" s="9"/>
      <c r="D24" s="9"/>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row>
    <row r="25">
      <c r="A25" s="22" t="s">
        <v>25</v>
      </c>
      <c r="B25" s="25">
        <f>B3*B10*B14</f>
        <v>408000</v>
      </c>
      <c r="C25" s="9"/>
      <c r="D25" s="9"/>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row>
    <row r="26">
      <c r="A26" s="20" t="s">
        <v>26</v>
      </c>
      <c r="B26" s="4"/>
      <c r="C26" s="9"/>
      <c r="D26" s="9"/>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row>
    <row r="27">
      <c r="A27" s="5" t="s">
        <v>27</v>
      </c>
      <c r="B27" s="25">
        <f t="array" ref="B27">NPV(B9, C23:V23)+B24</f>
        <v>126827.7765</v>
      </c>
      <c r="C27" s="9"/>
      <c r="D27" s="9"/>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row>
    <row r="28">
      <c r="A28" s="5" t="s">
        <v>28</v>
      </c>
      <c r="B28" s="25">
        <f t="array" ref="B28">B23+NPV(B9, C23:V23)+B24</f>
        <v>41827.37651</v>
      </c>
      <c r="C28" s="9"/>
      <c r="D28" s="9"/>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row>
    <row r="29">
      <c r="A29" s="5" t="s">
        <v>29</v>
      </c>
      <c r="B29" s="26">
        <f t="array" ref="B29">IRR(HSTACK(B23:V23, B24))</f>
        <v>0.02603123956</v>
      </c>
      <c r="C29" s="9"/>
      <c r="D29" s="9"/>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row>
    <row r="30">
      <c r="A30" s="5" t="s">
        <v>30</v>
      </c>
      <c r="B30" s="14">
        <f>(B27-B17)/B17</f>
        <v>0.4920914884</v>
      </c>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row>
    <row r="31">
      <c r="A31" s="27" t="s">
        <v>31</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row>
    <row r="32">
      <c r="A32" s="2"/>
      <c r="B32" s="9"/>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row>
    <row r="33">
      <c r="A33" s="1" t="s">
        <v>32</v>
      </c>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row>
    <row r="34">
      <c r="A34" s="5" t="s">
        <v>33</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row>
    <row r="35">
      <c r="A35" s="2"/>
      <c r="B35" s="8"/>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row>
    <row r="36">
      <c r="A36" s="1" t="s">
        <v>34</v>
      </c>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row>
    <row r="37">
      <c r="A37" s="28" t="s">
        <v>35</v>
      </c>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row>
    <row r="38">
      <c r="A38" s="2"/>
      <c r="B38" s="9"/>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row>
    <row r="39">
      <c r="A39" s="2"/>
      <c r="B39" s="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row>
    <row r="41">
      <c r="A41" s="2"/>
      <c r="B41" s="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row>
    <row r="42">
      <c r="A42" s="2"/>
      <c r="B42" s="9"/>
      <c r="C42" s="9"/>
      <c r="D42" s="9"/>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row>
    <row r="43">
      <c r="A43" s="2"/>
      <c r="B43" s="8"/>
      <c r="C43" s="9"/>
      <c r="D43" s="9"/>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row>
    <row r="44">
      <c r="A44" s="2"/>
      <c r="B44" s="9"/>
      <c r="C44" s="9"/>
      <c r="D44" s="9"/>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row>
    <row r="45">
      <c r="A45" s="2"/>
      <c r="B45" s="8"/>
      <c r="C45" s="9"/>
      <c r="D45" s="9"/>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row>
    <row r="46">
      <c r="A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c r="AG1000" s="2"/>
      <c r="AH1000" s="2"/>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c r="AD1001" s="2"/>
      <c r="AE1001" s="2"/>
      <c r="AF1001" s="2"/>
      <c r="AG1001" s="2"/>
      <c r="AH1001" s="2"/>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c r="AD1002" s="2"/>
      <c r="AE1002" s="2"/>
      <c r="AF1002" s="2"/>
      <c r="AG1002" s="2"/>
      <c r="AH1002" s="2"/>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c r="AD1003" s="2"/>
      <c r="AE1003" s="2"/>
      <c r="AF1003" s="2"/>
      <c r="AG1003" s="2"/>
      <c r="AH1003" s="2"/>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c r="AD1004" s="2"/>
      <c r="AE1004" s="2"/>
      <c r="AF1004" s="2"/>
      <c r="AG1004" s="2"/>
      <c r="AH1004" s="2"/>
      <c r="AI1004" s="2"/>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c r="AD1005" s="2"/>
      <c r="AE1005" s="2"/>
      <c r="AF1005" s="2"/>
      <c r="AG1005" s="2"/>
      <c r="AH1005" s="2"/>
      <c r="AI1005" s="2"/>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c r="AD1006" s="2"/>
      <c r="AE1006" s="2"/>
      <c r="AF1006" s="2"/>
      <c r="AG1006" s="2"/>
      <c r="AH1006" s="2"/>
      <c r="AI1006" s="2"/>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c r="AD1007" s="2"/>
      <c r="AE1007" s="2"/>
      <c r="AF1007" s="2"/>
      <c r="AG1007" s="2"/>
      <c r="AH1007" s="2"/>
      <c r="AI1007" s="2"/>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c r="AD1008" s="2"/>
      <c r="AE1008" s="2"/>
      <c r="AF1008" s="2"/>
      <c r="AG1008" s="2"/>
      <c r="AH1008" s="2"/>
      <c r="AI1008" s="2"/>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c r="AD1009" s="2"/>
      <c r="AE1009" s="2"/>
      <c r="AF1009" s="2"/>
      <c r="AG1009" s="2"/>
      <c r="AH1009" s="2"/>
      <c r="AI1009" s="2"/>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c r="AD1010" s="2"/>
      <c r="AE1010" s="2"/>
      <c r="AF1010" s="2"/>
      <c r="AG1010" s="2"/>
      <c r="AH1010" s="2"/>
      <c r="AI1010" s="2"/>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c r="AD1011" s="2"/>
      <c r="AE1011" s="2"/>
      <c r="AF1011" s="2"/>
      <c r="AG1011" s="2"/>
      <c r="AH1011" s="2"/>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c r="AD1012" s="2"/>
      <c r="AE1012" s="2"/>
      <c r="AF1012" s="2"/>
      <c r="AG1012" s="2"/>
      <c r="AH1012" s="2"/>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c r="AD1013" s="2"/>
      <c r="AE1013" s="2"/>
      <c r="AF1013" s="2"/>
      <c r="AG1013" s="2"/>
      <c r="AH1013" s="2"/>
      <c r="AI1013" s="2"/>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row>
  </sheetData>
  <mergeCells count="7">
    <mergeCell ref="A1:C1"/>
    <mergeCell ref="A31:C31"/>
    <mergeCell ref="A33:C33"/>
    <mergeCell ref="A34:C34"/>
    <mergeCell ref="A36:C36"/>
    <mergeCell ref="A37:F37"/>
    <mergeCell ref="A46:C46"/>
  </mergeCells>
  <drawing r:id="rId1"/>
</worksheet>
</file>